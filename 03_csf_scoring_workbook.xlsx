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README" sheetId="2" r:id="rId6"/>
    <sheet name="Rubric" sheetId="3" r:id="rId7"/>
    <sheet name="CSF Scoring" sheetId="4" r:id="rId8"/>
    <sheet name="Findings" sheetId="5" r:id="rId9"/>
    <sheet name="Dashboard"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<sst xmlns="http://schemas.openxmlformats.org/spreadsheetml/2006/main" uniqueCount="554">
  <si>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</si>
  <si>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</si>
  <si>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</si>
  <si>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</si>
  <si>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README</t>
  </si>
  <si>
    <t>Table 1</t>
  </si>
  <si>
    <t>NIST CSF 2.0 Maturity Assessment — Scoring Workbook</t>
  </si>
  <si>
    <t>Subject organization: Meridian Bridge Capital (MBC) — fictional fintech lender</t>
  </si>
  <si>
    <t>Purpose</t>
  </si>
  <si>
    <t>This workbook is the scoring engine for a self-assessment against NIST CSF 2.0. It contains all 106 subcategories across the six functions (Govern, Identify, Protect, Detect, Respond, Recover), with structured columns for current tier, target tier, gap, and evidence. The Dashboard tab summarizes maturity at the function level using formulas — no manual rollup needed.</t>
  </si>
  <si>
    <t>How to use this workbook</t>
  </si>
  <si>
    <t>1. Read the Rubric tab</t>
  </si>
  <si>
    <t>Understand the 1-4 tier scale before scoring.</t>
  </si>
  <si>
    <t>2. Go to the CSF Scoring tab</t>
  </si>
  <si>
    <t>All 106 subcategories are listed, grouped by function.</t>
  </si>
  <si>
    <t>3. For each subcategory</t>
  </si>
  <si>
    <t>Read the description, identify evidence at MBC, score Current Tier (1-4).</t>
  </si>
  <si>
    <t>4. Set Target Tier</t>
  </si>
  <si>
    <t>Based on regulatory needs, risk appetite, and business context.</t>
  </si>
  <si>
    <t>5. Gap is auto-calculated</t>
  </si>
  <si>
    <t>Target minus Current. Subcategories with Gap &gt; 0 are candidate findings.</t>
  </si>
  <si>
    <t>6. Document evidence</t>
  </si>
  <si>
    <t>What at MBC supports your score? Be specific.</t>
  </si>
  <si>
    <t>7. Open the Findings tab</t>
  </si>
  <si>
    <t>Capture each gap as a finding with severity, effort, and recommendation.</t>
  </si>
  <si>
    <t>8. Watch the Dashboard tab</t>
  </si>
  <si>
    <t>Function-level maturity summaries update automatically.</t>
  </si>
  <si>
    <t>Source verification</t>
  </si>
  <si>
    <t>Subcategory IDs and descriptions in this workbook are paraphrased from the NIST CSF 2.0 Core (published Feb 26, 2024). Before producing final deliverables, validate all subcategory text against the official NIST CSF 2.0 Core spreadsheet, available free at https://www.nist.gov/cyberframework/framework</t>
  </si>
  <si>
    <t>Rubric</t>
  </si>
  <si>
    <t>Scoring Rubric — NIST CSF 2.0 Implementation Tiers</t>
  </si>
  <si>
    <t>Tier</t>
  </si>
  <si>
    <t>Name</t>
  </si>
  <si>
    <t>Definition</t>
  </si>
  <si>
    <t>Typical evidence</t>
  </si>
  <si>
    <t>Partial</t>
  </si>
  <si>
    <t>Practices are ad hoc and reactive. No documented procedures. Risk awareness exists informally if at all.</t>
  </si>
  <si>
    <t>Verbal confirmation only; no artifacts</t>
  </si>
  <si>
    <t>Risk Informed</t>
  </si>
  <si>
    <t>Awareness exists. Practices are performed but inconsistently or without formal documentation. May be in transition.</t>
  </si>
  <si>
    <t>Drafts, informal runbooks, partial coverage</t>
  </si>
  <si>
    <t>Repeatable</t>
  </si>
  <si>
    <t>Documented practices applied consistently. Owners are named. Reviewed periodically.</t>
  </si>
  <si>
    <t>Approved policies, defined procedures, evidence of execution</t>
  </si>
  <si>
    <t>Adaptive</t>
  </si>
  <si>
    <t>Practices continuously improved based on threat intelligence, metrics, and lessons learned. Integrated across enterprise risk.</t>
  </si>
  <si>
    <t>Metrics tracked, improvement cycles documented, threat-informed adjustments</t>
  </si>
  <si>
    <t>Scoring guidance</t>
  </si>
  <si>
    <t>• Score current tier based on observed evidence at MBC today, not what's planned.</t>
  </si>
  <si>
    <t>• When evidence is mixed across tiers, pick the lowest tier that fully fits.</t>
  </si>
  <si>
    <t>• Target tier should reflect risk appetite, regulatory drivers, and business context — not aspiration.</t>
  </si>
  <si>
    <t>• Target tier need not be 4 for every subcategory. Tier 3 (Repeatable) is appropriate for many areas.</t>
  </si>
  <si>
    <t>• Gap = Target − Current. Any positive gap is a candidate finding.</t>
  </si>
  <si>
    <t>• Document evidence specifically: 'Policy XYZ approved in Q1 2025, last reviewed March 2026' beats 'Policy exists.'</t>
  </si>
  <si>
    <t>CSF Scoring</t>
  </si>
  <si>
    <t>Function</t>
  </si>
  <si>
    <t>Code</t>
  </si>
  <si>
    <t>Category</t>
  </si>
  <si>
    <t>Cat Code</t>
  </si>
  <si>
    <t>Subcategory ID</t>
  </si>
  <si>
    <t>Subcategory Description</t>
  </si>
  <si>
    <t>Current Tier</t>
  </si>
  <si>
    <t>Target Tier</t>
  </si>
  <si>
    <t>Gap</t>
  </si>
  <si>
    <t>Evidence / Observations</t>
  </si>
  <si>
    <t>Finding ID</t>
  </si>
  <si>
    <t>Status</t>
  </si>
  <si>
    <t>Govern</t>
  </si>
  <si>
    <t>GV</t>
  </si>
  <si>
    <t>Organizational Context</t>
  </si>
  <si>
    <t>GV.OC</t>
  </si>
  <si>
    <t>GV.OC-01</t>
  </si>
  <si>
    <t>The organizational mission is understood and informs cybersecurity risk management</t>
  </si>
  <si>
    <t>Leadership demonstrates awareness of MBC's lending mission and funds compliance initiatives (SOC 2 Type I done, Type II in progress; FTC Safeguards work underway; GLBA advisory completed). However, no formal cybersecurity steering committee exists, cybersecurity is not a standing ELT agenda item, and no documented cybersecurity strategy explicitly links to the mission. Connection is implicit rather than formalized.</t>
  </si>
  <si>
    <t>GV.OC-02</t>
  </si>
  <si>
    <t>Internal and external stakeholders' cybersecurity needs and expectations are understood and considered</t>
  </si>
  <si>
    <t>MBC reactively addresses stakeholder needs as they arise, SOC 2 Type II in progress per capital partner request, state regulator information requests handled by Compliance, board attention driven by industry breaches. No documented stakeholder map or systematic process to anticipate and integrate expectations into the cybersecurity strategy. Compliance team's regulatory tracker (Smartsheet) covers regulatory stakeholders but not capital partners, customers, or vendors.</t>
  </si>
  <si>
    <t>GV.OC-03</t>
  </si>
  <si>
    <t>Legal, regulatory, and contractual cybersecurity requirements (including privacy and civil liberties) are understood and managed</t>
  </si>
  <si>
    <t>Compliance team (3 FTE) maintains regulatory compliance tracker in Smartsheet covering GLBA, FTC Safeguards, FCRA, BSA/AML, state lending licenses (20+ states), CCPA/CPRA, TILA/RESPA/TRID, and NMLS obligations. External GLBA advisory completed mid-2025. FTC Safeguards Rule program in progress with designated QI and draft ISP (pending board approval). Gap: ISP not yet board-approved; no formal security clause review process for new contracts.</t>
  </si>
  <si>
    <t>GV.OC-04</t>
  </si>
  <si>
    <t>Critical objectives, capabilities, and services that external stakeholders depend on are understood and communicated</t>
  </si>
  <si>
    <t>MBC understands key external dependencies — DR plan documents recovery prioritization (borrower portal → LOS API → admin tools → analytics) with business input. Customer-facing status page (status.meridianbridge.example) communicates service status. Capital partner reporting cadence operational. Gaps: no formal external commitments register, no published SLAs to borrowers, broader service obligations not systematically documented beyond DR scope.</t>
  </si>
  <si>
    <t>GV.OC-05</t>
  </si>
  <si>
    <t>Outcomes, capabilities, and services that the organization depends on are understood and communicated</t>
  </si>
  <si>
    <r>
      <rPr>
        <sz val="12"/>
        <color indexed="8"/>
        <rFont val="Times Roman"/>
      </rPr>
      <t xml:space="preserve">Technical dependencies (AWS, Okta, Salesforce, Plaid, credit bureaus) are known and their status monitored via Datadog and manual status page checks. However, no central vendor inventory exists — vendors tracked across </t>
    </r>
    <r>
      <rPr>
        <u val="single"/>
        <sz val="12"/>
        <color indexed="11"/>
        <rFont val="Times Roman"/>
      </rPr>
      <t>bill.com</t>
    </r>
    <r>
      <rPr>
        <sz val="12"/>
        <color indexed="8"/>
        <rFont val="Times Roman"/>
      </rPr>
      <t xml:space="preserve"> (finance), a Legal Google Sheet, and DocuSign CLM with no master view. No criticality tiering applied. Compliance team aware of regulatory partner dependencies but not integrated with technology dependency mapping.</t>
    </r>
  </si>
  <si>
    <t>Risk Management Strategy</t>
  </si>
  <si>
    <t>GV.RM</t>
  </si>
  <si>
    <t>GV.RM-01</t>
  </si>
  <si>
    <t>Risk management objectives are established and agreed to by organizational stakeholders</t>
  </si>
  <si>
    <t>Implicit risk management objectives exist around achieving SOC 2 Type II and FTC Safeguards compliance, surfaced through CTO/Director of InfoSec conversations. No documented set of risk management objectives formally agreed by leadership. Compliance team maintains a regulatory tracker but it covers obligations, not risk management objectives. Notion-based informal risk list (~30 items, updated 6 weeks ago) is not stakeholder-approved.</t>
  </si>
  <si>
    <t>GV.RM-02</t>
  </si>
  <si>
    <t>Risk appetite and risk tolerance statements are established, communicated, and maintained</t>
  </si>
  <si>
    <t>Risk appetite and tolerance statements are undocumented. Implicit signals exist via leadership behavior (funded SOC 2, Safeguards Rule work, GLBA advisory) but no formal statements have been drafted, communicated, or maintained. No documented thresholds for risk acceptance or escalation.</t>
  </si>
  <si>
    <t>GV.RM-03</t>
  </si>
  <si>
    <t>Cybersecurity risk management activities and outcomes are included in enterprise risk management processes</t>
  </si>
  <si>
    <t>No formal enterprise risk management process exists at MBC. Cybersecurity risks tracked separately in a Notion page; regulatory compliance tracked in Smartsheet by the Compliance team; no unified ERM view. Board's Audit Committee reviews cybersecurity annually unless incident warrants. Cybersecurity not integrated into broader risk management processes.</t>
  </si>
  <si>
    <t>GV.RM-04</t>
  </si>
  <si>
    <t>Strategic direction describing appropriate risk response options is established and communicated</t>
  </si>
  <si>
    <t>No documented risk response strategy or framework defining when to mitigate, transfer, avoid, or accept cybersecurity risks. Decisions made case-by-case by CTO and Director of InfoSec. Mandiant IR retainer (a risk transfer mechanism) exists but is currently expired without renewal — illustrative of unmanaged risk response posture. No communicated strategic direction to managers and practitioners.</t>
  </si>
  <si>
    <t>GV.RM-05</t>
  </si>
  <si>
    <t>Lines of communication across the organization are established for cybersecurity risks, including supplier and third-party risks</t>
  </si>
  <si>
    <t>Informal communication channels exist: Director of InfoSec attends monthly ELT meetings (ad hoc agenda), PagerDuty creates Slack incident channels for incidents. No documented communication framework defining escalation paths, frequency, or content. Third-party risk communication weak: Legal handles vendor diligence during contracting without consistent InfoSec coordination. No formal supplier risk communication channels established.</t>
  </si>
  <si>
    <t>GV.RM-06</t>
  </si>
  <si>
    <t>A standardized method for calculating, documenting, categorizing, and prioritizing cybersecurity risks is established and communicated</t>
  </si>
  <si>
    <t>No standardized cybersecurity risk methodology. Informal Notion risk list (~30 items) lacks consistent severity scoring, likelihood/impact calculation, or categorization. Last updated 6 weeks ago. Incident severity scale (Sev1-4) defined in IR plan but applies to incidents post-occurrence, not to forward-looking risk assessment. No documented method communicated to managers or practitioners.</t>
  </si>
  <si>
    <t>GV.RM-07</t>
  </si>
  <si>
    <t>Strategic opportunities (positive risks) are characterized and included in cybersecurity risk discussions</t>
  </si>
  <si>
    <t>Positive risks (strategic opportunities from cybersecurity investment) not formally characterized or discussed. SOC 2 Type II implicitly viewed as a business enabler (capital partner relationships, future fundraise readiness) but framed as compliance obligation, not opportunity. Practice does not exist in formalized form.</t>
  </si>
  <si>
    <t>Roles, Responsibilities, and Authorities</t>
  </si>
  <si>
    <t>GV.RR</t>
  </si>
  <si>
    <t>GV.RR-01</t>
  </si>
  <si>
    <t>Organizational leadership is responsible and accountable for cybersecurity risk and fosters a risk-aware, ethical, continually improving culture</t>
  </si>
  <si>
    <t>Informal accountability: Director of InfoSec reports to CTO; CTO functionally owns cybersecurity but role is not formally documented as such. Leadership funds program (SOC 2, Safeguards, GLBA work). However: cybersecurity not a standing ELT agenda item, no documented executive accountability statement, no formal culture-building program beyond annual KnowBe4 training and monthly phishing simulations. Board engagement limited to annual review unless incidents warrant.</t>
  </si>
  <si>
    <t>GV.RR-02</t>
  </si>
  <si>
    <t>Roles, responsibilities, and authorities for cybersecurity risk management are established, communicated, understood, and enforced</t>
  </si>
  <si>
    <t>Roles within dedicated security (Director of InfoSec + Security Engineer) and compliance teams (Director + 2 analysts) are clear. IR plan documents incident response roles (IC, Technical Lead, Comms Lead, Legal Liaison). However, broader organizational cybersecurity responsibilities — what business owners, engineers, and managers are accountable for — are not documented. Enforcement of cybersecurity responsibilities outside dedicated teams is informal.</t>
  </si>
  <si>
    <t>GV.RR-03</t>
  </si>
  <si>
    <t>Adequate resources are allocated commensurate with the cybersecurity risk strategy, roles, responsibilities, and policies</t>
  </si>
  <si>
    <t>Material resources allocated, security tooling (CrowdStrike, Okta, Datadog, Tenable, KnowBe4) and dedicated headcount (2 security FTE, 3 compliance FTE). However: small security team for a 210-person regulated fintech, no CISO, expired Mandiant IR retainer, backlog of known issues unaddressed (legacy auth, unencrypted FTP, unapproved policies). Resource allocation not formally tied to documented risk strategy (which doesn't exist).</t>
  </si>
  <si>
    <t>GV.RR-04</t>
  </si>
  <si>
    <t>Cybersecurity is included in human resources practices</t>
  </si>
  <si>
    <t>Annual KnowBe4 security training mandatory for all employees (94% completion). Onboarding/offboarding via Okta provisioning through JIRA tickets. Background checks assumed standard for regulated lender employees (not explicitly documented in addendum). Gaps: no documented HR security policy, cybersecurity responsibilities not explicit in job descriptions, offboarding inconsistent for legacy systems with local accounts, no documented disciplinary framework for security policy violations.</t>
  </si>
  <si>
    <t>Policy</t>
  </si>
  <si>
    <t>GV.PO</t>
  </si>
  <si>
    <t>GV.PO-01</t>
  </si>
  <si>
    <t>Policy for managing cybersecurity risks is established based on organizational context, strategy, and priorities, and is communicated and enforced</t>
  </si>
  <si>
    <t>Five core policies established: Information Security Policy (board-approved 2024), AUP (2023, no GenAI language), Access Control Policy (approved 2024), Incident Response Plan (approved 2024), Vendor Management Policy (drafted, not approved). Stored in Security shared Google Drive. Communication is passive (drive access); enforcement informal. Policy library not comprehensive — gaps in data protection, change management, and encryption policies. AUP has not been reviewed since 2023.</t>
  </si>
  <si>
    <t>GV.PO-02</t>
  </si>
  <si>
    <t>Policy for managing cybersecurity risks is reviewed, updated, and enforced to reflect changes in requirements, threats, technology, and mission</t>
  </si>
  <si>
    <t>Per addendum: no formal policy review cadence exists. Policies updated reactively when audits identify issues. AUP not reviewed since 2023 (over 2 years). No documented schedule for policy review, no documented owner for policy maintenance, no process for incorporating threat or technology changes into policy updates.</t>
  </si>
  <si>
    <t>Oversight</t>
  </si>
  <si>
    <t>GV.OV</t>
  </si>
  <si>
    <t>GV.OV-01</t>
  </si>
  <si>
    <t>Cybersecurity risk management strategy outcomes are reviewed to inform and adjust strategy and direction</t>
  </si>
  <si>
    <t xml:space="preserve">Strategic adjustments observable in response to changing requirements: FTC Safeguards Rule compliance project, SOC 2 Type II push driven by capital partner expectations, increased board attention following industry breaches. However, no documented strategy review process exists. Adjustments are reactive and project-based rather than emerging from a structured review of coverage gaps.
</t>
  </si>
  <si>
    <t>GV.OV-02</t>
  </si>
  <si>
    <t>The cybersecurity risk management strategy is reviewed and adjusted to ensure coverage of organizational requirements and risks</t>
  </si>
  <si>
    <t>Strategic adjustments observable in response to changing requirements: FTC Safeguards Rule compliance project, SOC 2 Type II push driven by capital partner expectations, increased board attention following industry breaches. However, no documented strategy review process exists. Adjustments are reactive and project-based rather than emerging from a structured review of coverage gaps.</t>
  </si>
  <si>
    <t>GV.OV-03</t>
  </si>
  <si>
    <t>Organizational cybersecurity risk management performance is evaluated and reviewed for adjustments needed</t>
  </si>
  <si>
    <t>Annual Board Audit Committee cybersecurity review provides limited program performance oversight. No documented metrics or formal performance evaluation framework mentioned in source documents — assumed absent given overall program maturity. Adjustments to program direction happen reactively to incidents or audit findings rather than from systematic performance data.</t>
  </si>
  <si>
    <t>Cybersecurity Supply Chain Risk Management</t>
  </si>
  <si>
    <t>GV.SC</t>
  </si>
  <si>
    <t>GV.SC-01</t>
  </si>
  <si>
    <t>A C-SCRM program, strategy, objectives, policies, and processes are established and agreed to by stakeholders</t>
  </si>
  <si>
    <t>No formal C-SCRM program, strategy, or documented objectives exist. Legal performs ad hoc security diligence during contracting, but this is contract review activity rather than supply chain risk management. Vendor Management Policy drafted but not approved. No centralized vendor inventory, vendors fragmented across bill.com (finance), legal Google Sheet, and DocuSign CLM with no master view. No stakeholder-agreed C-SCRM framework exists.</t>
  </si>
  <si>
    <t>GV.SC-02</t>
  </si>
  <si>
    <t>Cybersecurity roles and responsibilities for suppliers, customers, and partners are established, communicated, and coordinated</t>
  </si>
  <si>
    <t>No defined cybersecurity roles and responsibilities exist between MBC and its third parties. Legal performs ad hoc vendor diligence during contracting without consistent InfoSec involvement. Vendor Management Policy drafted but not approved. No security points of contact, incident notification protocols, or shared responsibility frameworks documented for critical integrations (Plaid, credit bureaus, CoreLogic, Black Knight, Salesforce). Customer-facing security responsibilities (borrower portal users) not communicated. Capital partner relationships involve partners imposing requirements on MBC (SOC 2 Type II requests) rather than coordinated cybersecurity role definition.</t>
  </si>
  <si>
    <t>GV.SC-03</t>
  </si>
  <si>
    <t>C-SCRM is integrated into cybersecurity and enterprise risk management, risk assessment, and improvement processes</t>
  </si>
  <si>
    <t>No integration of C-SCRM into broader risk processes — primarily because C-SCRM doesn't exist as a formal program and ERM doesn't exist at MBC at all (per GV.RM-03). Vendor risk is not represented in the informal Notion security risk list. Vendor diligence sits in Legal during contracting, disconnected from any risk assessment process. No improvement cycle exists where vendor risks would surface and drive program adjustments.</t>
  </si>
  <si>
    <t>GV.SC-04</t>
  </si>
  <si>
    <t>Suppliers are known and prioritized by criticality</t>
  </si>
  <si>
    <r>
      <rPr>
        <sz val="12"/>
        <color indexed="8"/>
        <rFont val="Times Roman"/>
      </rPr>
      <t>No vendor inventory exists in any central system; vendors are tracked in finance (</t>
    </r>
    <r>
      <rPr>
        <u val="single"/>
        <sz val="12"/>
        <color indexed="11"/>
        <rFont val="Times Roman"/>
      </rPr>
      <t>bill.com</t>
    </r>
    <r>
      <rPr>
        <sz val="12"/>
        <color indexed="8"/>
        <rFont val="Times Roman"/>
      </rPr>
      <t>), legal (a Google Sheet), and procurement (DocuSign CLM) without a master view. No vendor tiering by criticality. Part of broader gap: no formal C-SCRM program.</t>
    </r>
  </si>
  <si>
    <t>GV.SC-05</t>
  </si>
  <si>
    <t>Requirements to address cybersecurity risks in supply chains are established, prioritized, and integrated into contracts</t>
  </si>
  <si>
    <t>No standard cybersecurity contractual requirements established for vendor agreements. Vendor Management Policy is drafted but not approved, so no required contract clauses are mandated. Legal performs ad hoc security questionnaires during contracting but completion is inconsistent and not tied to contractual security commitments. No prioritization framework exists to determine which vendors require what level of contractual security obligations. Part of broader gap: no formal C-SCRM program.</t>
  </si>
  <si>
    <t>GV.SC-06</t>
  </si>
  <si>
    <t>Planning and due diligence are performed to reduce risks before entering into supplier or other third-party relationships</t>
  </si>
  <si>
    <t>No pre-engagement security due diligence framework exists. Security assessment happens during contracting (after vendor selection) rather than as part of pre-relationship evaluation. Security questionnaires requested for some vendors handling PII but completion is inconsistent and not gating to contract execution. No documented due diligence checklist, required artifacts, or risk acceptance authority defined before vendor relationships are entered. Part of broader gap: no formal C-SCRM program.</t>
  </si>
  <si>
    <t>GV.SC-07</t>
  </si>
  <si>
    <t>Risks posed by suppliers, their products/services, and third parties are recorded, prioritized, assessed, responded to, and monitored</t>
  </si>
  <si>
    <t>No ongoing vendor risk management process exists. Vendor risks are not recorded in any central register; the informal Notion security risk list (~30 items) is not vendor-focused. No prioritization, periodic reassessment, or documented response process for vendor-related risks across the relationship lifecycle. Vendor security assessment happens only at contracting, then is not revisited. Part of broader gap: no formal C-SCRM program.</t>
  </si>
  <si>
    <t>GV.SC-08</t>
  </si>
  <si>
    <t>Relevant suppliers and third parties are included in incident planning, response, and recovery activities</t>
  </si>
  <si>
    <t>No process to include third parties in incident planning, response, or recovery activities. IR plan references a Mandiant retainer for major incident support but the retainer is currently expired and unrenewed. No suppliers participate in tabletop exercises (none performed in 12+ months regardless). No contractual incident notification requirements for vendors documented. External notification process exists for regulators and capital partners but is one-way notification, not collaborative incident coordination.</t>
  </si>
  <si>
    <t>GV.SC-09</t>
  </si>
  <si>
    <t>Supply chain security practices are integrated into cybersecurity and ERM programs, with performance monitored across product/service lifecycles</t>
  </si>
  <si>
    <t>No C-SCRM program exists and no ERM process exists at MBC, so integration of supply chain security into either cannot occur. Vendor security performance is not monitored across the technology lifecycle — no documented checks at vendor selection, deployment (the addendum notes three recent SaaS additions not yet in Okta), ongoing operation, or vendor offboarding. No metrics on supply chain security performance. Part of broader gap: no formal C-SCRM program.</t>
  </si>
  <si>
    <t>GV.SC-10</t>
  </si>
  <si>
    <t>C-SCRM plans include provisions for activities that occur after the conclusion of a partnership or service agreement</t>
  </si>
  <si>
    <t>No vendor offboarding or relationship-conclusion provisions documented. Source documents are silent on data return/destruction requirements, access and credential revocation processes, or contract close-out procedures when vendor relationships end. Vendor Management Policy (drafted but unapproved) does not specify end-of-relationship security obligations. Given the absence of a formal C-SCRM program, offboarding provisions are assumed absent. Part of broader gap: no formal C-SCRM program.</t>
  </si>
  <si>
    <t>Identify</t>
  </si>
  <si>
    <t>ID</t>
  </si>
  <si>
    <t>Asset Management</t>
  </si>
  <si>
    <t>ID.AM</t>
  </si>
  <si>
    <t>ID.AM-01</t>
  </si>
  <si>
    <t>Inventories of hardware managed by the organization are maintained</t>
  </si>
  <si>
    <t>Hardware inventory maintained through automated enterprise tooling. Microsoft Intune manages Windows endpoints; Jamf manages Mac endpoints; AWS Config + Resource Explorer auto-discover cloud infrastructure. Combined ~220 managed devices plus AWS resources tracked continuously. Coverage gap exists for personal devices used in BYOD/SaaS contexts without MDM enrollment, but the practice for organization-managed hardware is documented and consistently applied.</t>
  </si>
  <si>
    <t>ID.AM-02</t>
  </si>
  <si>
    <t>Inventories of software, services, and systems managed by the organization are maintained</t>
  </si>
  <si>
    <t>SaaS applications are tracked in Okta, but not all SaaS is behind SSO. Some teams use unsanctioned tools. No formal software asset management tool. The Security Engineer maintains a spreadsheet of approved SaaS apps, updated quarterly.</t>
  </si>
  <si>
    <t>ID.AM-03</t>
  </si>
  <si>
    <t>Representations of the organization's authorized network communication and internal/external network data flows are maintained</t>
  </si>
  <si>
    <t>Architecture diagrams exist in Lucidchart, last updated approximately 6 months ago. Reasonably accurate for production but doesn't reflect three recent SaaS integrations (a new analytics tool, a new marketing automation platform, a new e-signature backup vendor). Data flow diagrams exist for the loan origination flow specifically (SOC 2 evidence) but not for other workflows.</t>
  </si>
  <si>
    <t>ID.AM-04</t>
  </si>
  <si>
    <t>Inventories of services provided by suppliers are maintained</t>
  </si>
  <si>
    <t>Partial visibility into supplier services through Okta integrations (~80 SaaS apps tracked) and a Security Engineer-maintained spreadsheet of approved SaaS applications. Critical third-party services (Plaid for bank verification, Equifax/Experian/TransUnion for credit, CoreLogic for property data, Black Knight for servicing, DocuSign for e-signature) are known but not maintained in a central service catalog with documented purpose, data flows, or criticality. No formal service inventory exists.</t>
  </si>
  <si>
    <t>ID.AM-05</t>
  </si>
  <si>
    <t>Assets are prioritized based on classification, criticality, resources, and impact on the mission</t>
  </si>
  <si>
    <t>A data classification project completed in 2024 identified four data classes (Public, Internal, Confidential, Restricted). The classification matrix exists as a Google Doc. Specific data assets (the LOS database, the document vault, Salesforce data, BigQuery analytics warehouse) are tagged in AWS using cost-allocation tags, but a formal data inventory mapping data types to locations doesn't exist.</t>
  </si>
  <si>
    <t>ID.AM-07</t>
  </si>
  <si>
    <t>Inventories of data and corresponding metadata for designated data types are maintained</t>
  </si>
  <si>
    <t>No living data inventory is maintained. AWS cost-allocation tags provide partial asset-level visibility for the LOS database, document vault, Salesforce data, and BigQuery warehouse, but tags don't include rich metadata (ownership, classification per dataset, retention, system of record). Borrower PII flows through LOS, document vault, Salesforce, and several integrations — documented at a high level in SOC 2 Type I scoping but as point-in-time documentation, not a maintained inventory. No formal data catalog tool deployed.</t>
  </si>
  <si>
    <t>ID.AM-08</t>
  </si>
  <si>
    <t>Systems, hardware, software, services, and data are managed throughout their life cycles</t>
  </si>
  <si>
    <t>Partial lifecycle management. Mid-lifecycle operations are reasonably mature: endpoint patching automated via Intune/Jamf with 14-day staged rollout, AWS server patching via Systems Manager monthly, LOS releases biweekly with expedited security patches, AWS infrastructure managed via Terraform. Lifecycle gaps exist at both ends: onboarding (three recent SaaS integrations not yet in Okta), and end-of-life (legacy servicing portal with local accounts remains in use rather than being decommissioned, and no formal end-of-life or decommissioning processes are documented for hardware, software, or services).</t>
  </si>
  <si>
    <t>Risk Assessment</t>
  </si>
  <si>
    <t>ID.RA</t>
  </si>
  <si>
    <t>ID.RA-01</t>
  </si>
  <si>
    <t>Vulnerabilities in assets are identified, validated, and recorded</t>
  </si>
  <si>
    <t>Vulnerability identification is mature and operational across asset types. Tenable Nessus scans infrastructure monthly. Tenable Web App Scanning runs monthly against the borrower portal and admin portal. AWS Inspector covers EC2 and ECR. CrowdStrike Falcon Spotlight tracks endpoint vulnerabilities continuously. Findings are reviewed by the Security Engineer with critical findings typically remediated within 2-3 weeks. Gaps: no formal remediation SLA documented; no vulnerability disclosure program (no security.txt or bug bounty) — but these relate to ID.RA-06 (response prioritization) and ID.RA-08 (disclosure handling) respectively.</t>
  </si>
  <si>
    <t>ID.RA-02</t>
  </si>
  <si>
    <t>Cyber threat intelligence is received from information sharing forums and sources</t>
  </si>
  <si>
    <t>Threat intelligence consumed informally. Director of InfoSec subscribes to industry newsletters (SANS NewsBites, Risky Business, KrebsOnSecurity), monitors fintech-specific Slack communities, and receives feeds from CrowdStrike and AWS GuardDuty. Gaps: no structured threat intel program, no commercial threat intel feed, no documented sources or analysis process, no formal distribution of intel to relevant teams.</t>
  </si>
  <si>
    <t>ID.RA-03</t>
  </si>
  <si>
    <t>Internal and external threats to the organization are identified and recorded</t>
  </si>
  <si>
    <t>Threats to MBC are not formally identified or recorded. Addendum explicitly notes "no formal threat modeling exercises." No documented threat catalog or threat register exists. The informal Notion risk list (~30 items) is not organized by threat actor or threat scenario. Threat awareness exists informally through Director of InfoSec's industry reading but is not captured systematically. Internal threats (insider risk, error) are not documented as a category of concern.</t>
  </si>
  <si>
    <t>ID.RA-04</t>
  </si>
  <si>
    <t>Potential impacts and likelihoods of threats exploiting vulnerabilities are identified and recorded</t>
  </si>
  <si>
    <t>No formal impact or likelihood assessment of threats exploiting vulnerabilities. The informal Notion risk list (~30 items) has no severity scoring. Tenable assigns CVSS scores to individual vulnerabilities (technical severity only), but these are not contextualized against MBC's threat landscape or business impact. No risk matrix, no documented likelihood methodology, no business-impact ratings tied to specific threat-vulnerability pairs.</t>
  </si>
  <si>
    <t>ID.RA-05</t>
  </si>
  <si>
    <t>Threats, vulnerabilities, likelihoods, and impacts are used to determine inherent risk and prioritize risk responses</t>
  </si>
  <si>
    <t>No formal process to understand inherent risk or prioritize risk responses. Per addendum: no formal enterprise risk register; informal Notion list (~30 items, last updated 6 weeks ago) has no severity scoring. Prioritization decisions made in conversations between CTO and Director of InfoSec rather than against documented methodology. No formal risk calculation methodology exists (per GV.RM-06). Risk appetite is undocumented, so even informal prioritization has no anchor for what "high enough" risk means.</t>
  </si>
  <si>
    <t>ID.RA-06</t>
  </si>
  <si>
    <t>Risk responses are chosen, scoped, prioritized, and communicated</t>
  </si>
  <si>
    <t>No formal process for choosing, prioritizing, planning, tracking, or communicating risk responses. Prioritization decisions made in informal CTO/Director of InfoSec conversations. No risk register to track responses (per GV.RM-03). The "Open known issues" backlog functions as an informal response queue but items sit without prioritization, owners, or timelines (e.g., expired Mandiant retainer, unapproved Vendor Management Policy). Risk appetite undocumented, so response choices have no anchor. No formal mechanism for communicating risk responses across the organization.</t>
  </si>
  <si>
    <t>ID.RA-07</t>
  </si>
  <si>
    <t>Changes and exceptions are managed, assessed for risk impact, recorded, and tracked</t>
  </si>
  <si>
    <t>Changes are managed operationally but without formal risk impact assessment. AWS infrastructure changes managed via Terraform (~80% IaC coverage). Code changes go through required code review and CI checks. OS patches deployed via Intune/Jamf with 14-day staged rollout; server patches via AWS Systems Manager monthly; LOS feature releases biweekly with expedited security patches. However, no documented risk impact assessment workflow for changes, and no formal exception management process — the "Open known issues" backlog (e.g., legacy local accounts, unencrypted FTP to state regulator) functions as an informal exception register without documented review, owner, or sunset dates.</t>
  </si>
  <si>
    <t>ID.RA-08</t>
  </si>
  <si>
    <t>Processes for receiving, analyzing, and responding to vulnerability disclosures are established</t>
  </si>
  <si>
    <t>No vulnerability disclosure program exists. Per addendum: no public security.txt and no bug bounty program. No documented process for receiving, triaging, or responding to externally-reported vulnerabilities.</t>
  </si>
  <si>
    <t>ID.RA-09</t>
  </si>
  <si>
    <t>Authenticity and integrity of hardware and software are assessed prior to acquisition and use</t>
  </si>
  <si>
    <r>
      <rPr>
        <sz val="12"/>
        <color indexed="8"/>
        <rFont val="Times Roman"/>
      </rPr>
      <t>No formal process for verifying authenticity and integrity of hardware or software prior to acquisition or deployment. Source documents address asset inventory and ongoing management (Intune, Jamf, Okta, AWS Config) but not pre-acquisition verification. No documented practices for verifying digital signatures on software, validating package checksums, requiring SBOMs from vendors, or sourcing hardware only from authorized resellers. Procurement happens through finance (</t>
    </r>
    <r>
      <rPr>
        <u val="single"/>
        <sz val="12"/>
        <color indexed="11"/>
        <rFont val="Times Roman"/>
      </rPr>
      <t>bill.com</t>
    </r>
    <r>
      <rPr>
        <sz val="12"/>
        <color indexed="8"/>
        <rFont val="Times Roman"/>
      </rPr>
      <t>) and contracting (DocuSign CLM) without security verification gates.</t>
    </r>
  </si>
  <si>
    <t>ID.RA-10</t>
  </si>
  <si>
    <t>Critical suppliers are assessed prior to acquisition</t>
  </si>
  <si>
    <t>No formal process for accessing critical suppliers prior to acquisition. Legal preforms ad hoc diligence during contracting which includes a security questionnaire for vendors the will handle PII (completion is inconsistent). Suppliers are not critically tiered.</t>
  </si>
  <si>
    <t>Improvement</t>
  </si>
  <si>
    <t>ID.IM</t>
  </si>
  <si>
    <t>ID.IM-01</t>
  </si>
  <si>
    <t>Improvements are identified from evaluations</t>
  </si>
  <si>
    <t>Improvements are identified from evaluations reactively but not systematically. External evaluations have driven remediation work: SOC 2 Type I pen test (4 findings, 3 remediated), GLBA advisory (12 findings, 7 remediated), FTC Safeguards readiness review ongoing. However, no documented improvement identification process tied to evaluations — improvements happen when audit findings demand them rather than as a managed program. No metrics or improvement tracking beyond the informal Notion list.</t>
  </si>
  <si>
    <t>ID.IM-02</t>
  </si>
  <si>
    <t>Improvements are identified from security tests and exercises, including those done in coordination with suppliers and third parties</t>
  </si>
  <si>
    <t>No structured program for identifying improvements from security tests and exercises. Tabletop exercises haven't been run in 12+ months. No internal security tests performed; most recent penetration test was vendor-conducted as part of SOC 2 Type I prep in late 2024. No formal threat modeling exercises. No coordination with suppliers or third parties for joint exercises (also reflected in GV.SC-08 scoring).</t>
  </si>
  <si>
    <t>ID.IM-03</t>
  </si>
  <si>
    <t>Improvements are identified from execution of operational processes, procedures, and activities</t>
  </si>
  <si>
    <t>Informal improvement identification happens through operational activity — Security Engineer triages Tenable and CrowdStrike findings, monthly phishing simulations inform training content, AWS Security Hub findings reviewed. No documented improvement identification process tied to operational processes, no retrospectives on security operations, no metrics tracked to identify systemic improvements. Changes happen reactively when issues surface rather than through structured operational review.</t>
  </si>
  <si>
    <t>ID.IM-04</t>
  </si>
  <si>
    <t>Incident response plans and other cybersecurity plans that affect operations are established, communicated, maintained, and improved</t>
  </si>
  <si>
    <t>Cybersecurity plans are established and communicated but not consistently maintained or improved. IR Plan approved 2024 but untested via tabletop in 12+ months; references expired Mandiant retainer that hasn't been renewed. DR Plan tested annually (most recent February 2026, partial success — recovery completed in 6 hours against 4-hour RTO target, documentation gaps identified but not yet remediated). No formal improvement cycle that ensures plans evolve based on tests, exercises, threat changes, or operational lessons.</t>
  </si>
  <si>
    <t>Protect</t>
  </si>
  <si>
    <t>PR</t>
  </si>
  <si>
    <t>Identity Management, Authentication, and Access Control</t>
  </si>
  <si>
    <t>PR.AA</t>
  </si>
  <si>
    <t>PR.AA-01</t>
  </si>
  <si>
    <t>Identities and credentials for authorized users, services, and hardware are managed by the organization</t>
  </si>
  <si>
    <t>MBC's legacy servicing portal maintains local accounts outside Active Directory, creating unmanaged credential exposure. Quarterly access reviews have not been conducted, and role entitlements have grown without formal recertification. The high fintech attack surface for credential-based intrusions drives a Tier 4 target.</t>
  </si>
  <si>
    <t>PR.AA-02</t>
  </si>
  <si>
    <t>Identities are proofed and bound to credentials based on the context of interactions</t>
  </si>
  <si>
    <t>Identity proofing exists for standard corporate accounts but no formal binding process covers contractors or service accounts. There is no documented procedure for validating identity assertions beyond initial onboarding. Tier 3 is appropriate given the absence of privileged identity proofing requirements.</t>
  </si>
  <si>
    <t>PR.AA-03</t>
  </si>
  <si>
    <t>Users, services, and hardware are authenticated</t>
  </si>
  <si>
    <t>MFA is not consistently enforced across all systems, and legacy platforms lack support for modern authentication protocols. Credential stuffing and account takeover are active attack vectors for fintech lenders, creating direct business risk. The Tier 4 target reflects both the threat landscape and capital partner audit expectations.</t>
  </si>
  <si>
    <t>PR.AA-04</t>
  </si>
  <si>
    <t>Identity assertions are protected, conveyed, and verified</t>
  </si>
  <si>
    <t>Token handling and session management have not undergone formal security review, and federated identity governance lacks defined ownership. Identity assertion flows to third-party integrations (Salesforce, Plaid) are not documented or audited. Tier 3 is targeted given the risk but absence of regulatory mandate for continuous improvement.</t>
  </si>
  <si>
    <t>PR.AA-05</t>
  </si>
  <si>
    <t>Access permissions, entitlements, and authorizations are defined, managed, enforced, and reviewed, incorporating least privilege and separation of duties</t>
  </si>
  <si>
    <t>No quarterly access reviews are in place, and least-privilege enforcement is informal across most systems. Role definitions have not been updated to reflect the 50% headcount growth over the past 18 months. SOC 2 Type II pursuit and capital partner expectations make Tier 4 the appropriate target.</t>
  </si>
  <si>
    <t>PR.AA-06</t>
  </si>
  <si>
    <t>Physical access to assets is managed, monitored, and enforced commensurate with risk</t>
  </si>
  <si>
    <t>Badge access controls are in place at all three offices, providing basic physical access management. However, access logs are not centrally monitored, and no periodic review of physical entitlements occurs. Tier 3 is the right target given the operational and compliance context.</t>
  </si>
  <si>
    <t>Awareness and Training</t>
  </si>
  <si>
    <t>PR.AT</t>
  </si>
  <si>
    <t>PR.AT-01</t>
  </si>
  <si>
    <t>Personnel are provided with awareness and training so that they possess the knowledge and skills to perform general cybersecurity-related tasks</t>
  </si>
  <si>
    <t>Annual security awareness training exists but completion rates are not tracked rigorously and remediation for non-completers is undefined. The 50% headcount increase over 18 months has outpaced training enrollment and onboarding processes. Tier 3 is targeted to establish documented, tracked, and consistently delivered training.</t>
  </si>
  <si>
    <t>PR.AT-02</t>
  </si>
  <si>
    <t>Individuals in specialized roles are provided with training so they possess the knowledge and skills to perform relevant cybersecurity-related tasks</t>
  </si>
  <si>
    <t>No role-based training program exists for high-risk roles including developers handling PII, finance personnel, and cloud operations staff. Training gaps leave these roles without the skills needed to perform security-sensitive functions reliably. Tier 3 requires documented curricula and completion tracking for specialized personnel.</t>
  </si>
  <si>
    <t>Data Security</t>
  </si>
  <si>
    <t>PR.DS</t>
  </si>
  <si>
    <t>PR.DS-01</t>
  </si>
  <si>
    <t>Confidentiality, integrity, and availability of data-at-rest are protected</t>
  </si>
  <si>
    <t>An open known issue confirms production borrower data is present in the staging environment, violating data classification and access controls. Encryption at rest has not been uniformly verified across all data stores, particularly in non-production environments. Borrower PII is MBC's highest-sensitivity asset, driving a Tier 4 target.</t>
  </si>
  <si>
    <t>PR.DS-02</t>
  </si>
  <si>
    <t>Confidentiality, integrity, and availability of data-in-transit are protected</t>
  </si>
  <si>
    <t>An active open issue documents an unencrypted FTP channel used to transmit data to a state regulator, representing a direct regulatory and data-protection violation. No compensating controls are in place for this transmission path. The FTC Safeguards Rule and GLBA mandate encryption in transit, making Tier 4 the minimum acceptable target.</t>
  </si>
  <si>
    <t>PR.DS-10</t>
  </si>
  <si>
    <t>Confidentiality, integrity, and availability of data-in-use are protected</t>
  </si>
  <si>
    <t>No data loss prevention tooling is deployed, and no controls exist to protect data in active use at the memory or process level. There is no policy governing data handling in runtime environments, including developer workstations accessing production-like data. Tier 3 is targeted to establish defined controls and monitoring for data-in-use scenarios.</t>
  </si>
  <si>
    <t>PR.DS-11</t>
  </si>
  <si>
    <t>Backups of data are created, protected, maintained, and tested</t>
  </si>
  <si>
    <t>AWS Backup is configured for primary data stores, but restoration testing is performed ad hoc without documented schedules or success criteria. Backup coverage has not been validated against the full data inventory, particularly for secondary systems and third-party integrations. Tier 3 requires tested, documented backup and restoration procedures.</t>
  </si>
  <si>
    <t>Platform Security</t>
  </si>
  <si>
    <t>PR.PS</t>
  </si>
  <si>
    <t>PR.PS-01</t>
  </si>
  <si>
    <t>Configuration management practices are established and applied</t>
  </si>
  <si>
    <t>CSPM tooling covers the primary AWS environment but has documented gaps in the GCP analytics environment, leaving cloud misconfigurations undetected in that context. Infrastructure-as-code is used in AWS but configuration policies are not enforced via automated guardrails or drift detection. Tier 3 requires comprehensive, consistently enforced configuration management.</t>
  </si>
  <si>
    <t>PR.PS-02</t>
  </si>
  <si>
    <t>Software is maintained, replaced, and removed commensurate with risk</t>
  </si>
  <si>
    <t>No defined SLA exists for critical patch deployment, and the patch cadence for non-cloud systems relies on informal scheduling. Vulnerability scan results are not consistently tied to remediation tickets or tracked to closure. Tier 3 requires a documented and monitored patch management process with defined timelines.</t>
  </si>
  <si>
    <t>PR.PS-03</t>
  </si>
  <si>
    <t>Hardware is maintained, replaced, and removed commensurate with risk</t>
  </si>
  <si>
    <t>An asset refresh cycle exists but is not formally documented, and hardware decommissioning lacks a defined process for data sanitization verification. The rapid headcount growth has added endpoint assets faster than inventory governance has matured. Tier 3 requires a documented hardware lifecycle process with decommission verification.</t>
  </si>
  <si>
    <t>PR.PS-04</t>
  </si>
  <si>
    <t>Log records are generated and made available for continuous monitoring</t>
  </si>
  <si>
    <t>CloudTrail and VPC flow logs are enabled for AWS infrastructure, providing baseline audit trail coverage. Application-level logging is inconsistent across services, and no log retention policy aligned to regulatory requirements is in place. Tier 3 requires uniform logging standards and retention policies across all in-scope systems.</t>
  </si>
  <si>
    <t>PR.PS-05</t>
  </si>
  <si>
    <t>Installation and execution of unauthorized software are prevented</t>
  </si>
  <si>
    <t>No application allowlisting or endpoint policy prevents execution of unauthorized software on corporate or developer workstations. This creates risk of malware execution and supply chain compromise through developer toolchains. Tier 3 requires defined and enforced policies for software installation and execution controls.</t>
  </si>
  <si>
    <t>PR.PS-06</t>
  </si>
  <si>
    <t>Secure software development practices are integrated, and their performance is monitored throughout the software development lifecycle</t>
  </si>
  <si>
    <t>SAST tooling is integrated into the CI/CD pipeline but no formal secure SDLC policy governs its use or defines remediation SLAs for findings. Threat modeling is not a standard practice in the design phase. Tier 3 requires documented secure development standards, training, and gating criteria for security findings.</t>
  </si>
  <si>
    <t>Technology Infrastructure Resilience</t>
  </si>
  <si>
    <t>PR.IR</t>
  </si>
  <si>
    <t>PR.IR-01</t>
  </si>
  <si>
    <t>Networks and environments are protected from unauthorized logical access and usage</t>
  </si>
  <si>
    <t>VPC segmentation is implemented in AWS but no micro-segmentation or lateral movement controls exist within environment boundaries. An attacker who reaches the VPC perimeter would have broad internal access. Tier 3 requires defined network zones and documented access rules between segments.</t>
  </si>
  <si>
    <t>PR.IR-02</t>
  </si>
  <si>
    <t>The organization's technology assets are protected from environmental threats</t>
  </si>
  <si>
    <t>AWS multi-AZ deployment is in place for core services, and the DR architecture is documented and reflects current infrastructure. This is MBC's strongest area in the Protect function, already meeting the Tier 3 target. Continued alignment with current architecture as it evolves is the primary requirement.</t>
  </si>
  <si>
    <t>PR.IR-03</t>
  </si>
  <si>
    <t>Mechanisms are implemented to achieve resilience requirements in normal and adverse situations</t>
  </si>
  <si>
    <t>Resilience requirements including RTO and RPO are defined for the loan origination system but not formally documented for the customer portal or secondary services. No periodic review of resilience targets against business change exists. Tier 3 requires comprehensive, documented resilience requirements across all critical services.</t>
  </si>
  <si>
    <t>PR.IR-04</t>
  </si>
  <si>
    <t>Adequate resource capacity to ensure availability is maintained</t>
  </si>
  <si>
    <t>Auto-scaling is configured in AWS and handles routine load variation effectively. Capacity planning for peak and stress scenarios has not been formally reviewed or documented. Tier 3 requires a periodic capacity review process with documented thresholds and escalation criteria.</t>
  </si>
  <si>
    <t>Detect</t>
  </si>
  <si>
    <t>DE</t>
  </si>
  <si>
    <t>Continuous Monitoring</t>
  </si>
  <si>
    <t>DE.CM</t>
  </si>
  <si>
    <t>DE.CM-01</t>
  </si>
  <si>
    <t>Networks and network services are monitored to find potentially adverse events</t>
  </si>
  <si>
    <t>VPC flow logs are collected but no real-time alerting or SIEM is in place to analyze them for adversarial patterns. Network-based detection relies on manual review, creating significant dwell time risk. The active threat landscape for fintech lenders and the volume of sensitive transactions drive a Tier 4 target.</t>
  </si>
  <si>
    <t>DE.CM-02</t>
  </si>
  <si>
    <t>The physical environment is monitored to find potentially adverse events</t>
  </si>
  <si>
    <t>Physical access badge logs are available at all three office locations but are not fed into a centralized monitoring system. No automated alerting exists for after-hours access, tailgating, or access anomalies. Tier 3 requires centralized collection and defined alerting thresholds for physical access events.</t>
  </si>
  <si>
    <t>DE.CM-03</t>
  </si>
  <si>
    <t>Personnel activity and technology usage are monitored to find potentially adverse events</t>
  </si>
  <si>
    <t>No endpoint detection and response tooling is deployed, leaving workstation and server activity invisible to the security function. No user behavior analytics capability exists to identify anomalous internal activity. Tier 3 requires baseline endpoint monitoring and defined alerting criteria for suspicious behavior.</t>
  </si>
  <si>
    <t>DE.CM-06</t>
  </si>
  <si>
    <t>External service provider activities and services are monitored to find potentially adverse events</t>
  </si>
  <si>
    <t>No formal third-party monitoring program exists despite 80+ vendors in scope, including high-risk integrations with Plaid and credit bureaus. There is no visibility into anomalous activity originating from or directed at vendor connections. Tier 3 requires defined monitoring coverage for critical third-party services.</t>
  </si>
  <si>
    <t>DE.CM-09</t>
  </si>
  <si>
    <t>Computing hardware and software, runtime environments, and their data are monitored to find potentially adverse events</t>
  </si>
  <si>
    <t>CloudWatch dashboards provide operational visibility into AWS infrastructure health and basic performance metrics. CSPM coverage has a documented gap in the GCP analytics environment, leaving cloud misconfigurations in that environment undetected. Tier 3 requires complete runtime monitoring coverage across all cloud environments.</t>
  </si>
  <si>
    <t>Adverse Event Analysis</t>
  </si>
  <si>
    <t>DE.AE</t>
  </si>
  <si>
    <t>DE.AE-02</t>
  </si>
  <si>
    <t>Potentially adverse events are analyzed to better understand associated activities</t>
  </si>
  <si>
    <t>No threat correlation capability or UEBA is in place; analysts triage alerts manually without structured playbooks or detection logic. This results in inconsistent analysis quality and high analyst burden during elevated activity periods. Tier 3 requires documented analysis procedures and at least basic correlation rules for common attack patterns.</t>
  </si>
  <si>
    <t>DE.AE-03</t>
  </si>
  <si>
    <t>Information is correlated from multiple sources</t>
  </si>
  <si>
    <t>Log sources from network, endpoint, application, and identity systems are siloed with no SIEM aggregating them for cross-source analysis. Detecting multi-stage attacks that span system boundaries is not currently possible. Tier 3 requires centralized log aggregation with defined correlation capabilities.</t>
  </si>
  <si>
    <t>DE.AE-04</t>
  </si>
  <si>
    <t>The estimated impact and scope of adverse events are understood</t>
  </si>
  <si>
    <t>No documented criteria exist for estimating the scope or impact of a detected adverse event, and classification is performed ad hoc. Without impact assessment criteria, incident prioritization is inconsistent and resource allocation during active events is inefficient. Tier 3 requires documented impact classification criteria tied to business and regulatory thresholds.</t>
  </si>
  <si>
    <t>DE.AE-06</t>
  </si>
  <si>
    <t>Information on adverse events is provided to authorized staff and tools</t>
  </si>
  <si>
    <t>Security alerts are routed to the on-call engineer via email with no structured escalation path or integration with an incident management platform. There is no defined SLA for alert acknowledgment or triage completion. Tier 3 requires a documented alerting and escalation workflow with defined response time expectations.</t>
  </si>
  <si>
    <t>DE.AE-07</t>
  </si>
  <si>
    <t>Cyber threat intelligence and other contextual information are integrated into the analysis</t>
  </si>
  <si>
    <t>MBC does not subscribe to any threat intelligence feeds and has not joined a relevant industry ISAC such as FS-ISAC. Threat context is not incorporated into detection rules or incident analysis. Tier 3 requires at least one curated intelligence source integrated into detection and analysis processes.</t>
  </si>
  <si>
    <t>DE.AE-08</t>
  </si>
  <si>
    <t>Incidents are declared when adverse events meet the defined incident criteria</t>
  </si>
  <si>
    <t>The threshold for declaring a security event an incident is not formally documented in the IR plan, leading to inconsistent escalation decisions. Without defined criteria, low-severity events may be escalated unnecessarily while true incidents are under-declared. Tier 3 requires written incident declaration criteria aligned to MBC's business and regulatory obligations.</t>
  </si>
  <si>
    <t>Respond</t>
  </si>
  <si>
    <t>RS</t>
  </si>
  <si>
    <t>Incident Management</t>
  </si>
  <si>
    <t>RS.MA</t>
  </si>
  <si>
    <t>RS.MA-01</t>
  </si>
  <si>
    <t>The incident response plan is executed in coordination with relevant third parties once an incident is declared</t>
  </si>
  <si>
    <t>The IR plan exists but tabletop exercises are overdue per the open known issues list, and the Mandiant retainer has expired without renewal. These gaps leave the incident response capability untested and without external support at time of need. PII breach obligations under GLBA and state law drive a Tier 4 target requiring drilled, improving response capability.</t>
  </si>
  <si>
    <t>RS.MA-02</t>
  </si>
  <si>
    <t>Incident reports are triaged and validated</t>
  </si>
  <si>
    <t>Alert triage is performed by the on-call engineer using informal judgment rather than a documented severity rubric or validation checklist. This creates inconsistency in how incidents are validated, particularly across shift changes or personnel turnover. Tier 3 requires a documented triage procedure with defined validation criteria and handoff standards.</t>
  </si>
  <si>
    <t>RS.MA-03</t>
  </si>
  <si>
    <t>Incidents are categorized and prioritized</t>
  </si>
  <si>
    <t>Incident severity levels are defined in the IR plan but are inconsistently applied in practice, with no tracking of how incidents are categorized over time. Inconsistent categorization affects prioritization and executive notification decisions. Tier 3 requires consistent application of severity criteria with documented rationale for each classification.</t>
  </si>
  <si>
    <t>RS.MA-04</t>
  </si>
  <si>
    <t>Incidents are escalated or elevated as needed</t>
  </si>
  <si>
    <t>An escalation path is documented in the IR plan but executive notification thresholds and timing are not clearly defined. Without explicit criteria, the decision to notify senior leadership or the board is made ad hoc under time pressure. Tier 3 requires documented escalation triggers, ownership, and notification timelines.</t>
  </si>
  <si>
    <t>RS.MA-05</t>
  </si>
  <si>
    <t>The criteria for initiating incident recovery are applied</t>
  </si>
  <si>
    <t>Criteria for initiating the recovery phase are not documented, and the transition from containment to recovery is decided informally. Without formal criteria, premature recovery risks reintroducing the threat while delayed recovery extends business impact. Regulatory notification timelines under GLBA reinforce the need for a Tier 4 structured recovery initiation process.</t>
  </si>
  <si>
    <t>Incident Analysis</t>
  </si>
  <si>
    <t>RS.AN</t>
  </si>
  <si>
    <t>RS.AN-03</t>
  </si>
  <si>
    <t>Analysis is performed to establish what has taken place during an incident and the root cause of the incident</t>
  </si>
  <si>
    <t>No root cause analysis methodology is defined, and post-incident reviews occur sporadically without a consistent format or required participants. Without systematic RCA, MBC cannot identify control failures or prevent recurrence. Tier 3 requires a documented RCA process conducted after every declared incident with findings tracked to closure.</t>
  </si>
  <si>
    <t>RS.AN-06</t>
  </si>
  <si>
    <t>Actions performed during an investigation are recorded, and the records' integrity and provenance are preserved</t>
  </si>
  <si>
    <t>No chain-of-custody process exists for incident evidence, and analyst activity during investigations is recorded informally in Slack threads. This approach is insufficient for regulatory inquiries, litigation, or insurance claims requiring admissible evidence. Tier 3 requires a defined evidence handling procedure with tamper-evident logging of investigative actions.</t>
  </si>
  <si>
    <t>RS.AN-07</t>
  </si>
  <si>
    <t>Incident data and metadata are collected, and their integrity and provenance are preserved</t>
  </si>
  <si>
    <t>No evidence collection standard is defined, and log retention policies are not aligned to the regulatory retention requirements under GLBA or state law. Unretained or improperly stored logs may be unavailable when needed for a post-incident investigation. Tier 3 requires documented collection procedures and retention schedules mapped to regulatory obligations.</t>
  </si>
  <si>
    <t>RS.AN-08</t>
  </si>
  <si>
    <t>An incident's magnitude is estimated and validated</t>
  </si>
  <si>
    <t>No documented methodology exists for estimating the scope of a confirmed incident, and decisions about regulatory notification thresholds are made informally. Without impact scoping criteria, MBC risks both under-notifying regulators and over-notifying, each carrying distinct legal and reputational consequences. Tier 3 requires a documented impact estimation process tied to notification decision trees.</t>
  </si>
  <si>
    <t>Incident Response Reporting and Communication</t>
  </si>
  <si>
    <t>RS.CO</t>
  </si>
  <si>
    <t>RS.CO-02</t>
  </si>
  <si>
    <t>Internal and external stakeholders are notified of incidents</t>
  </si>
  <si>
    <t>Stakeholder notification obligations are understood at a general level but no communication templates, contact lists, or notification SLAs are defined. During an active incident, drafting notifications under time pressure without templates introduces errors and delays. Tier 3 requires pre-drafted templates, maintained contact lists, and defined notification timelines.</t>
  </si>
  <si>
    <t>RS.CO-03</t>
  </si>
  <si>
    <t>Information is shared with designated internal and external stakeholders</t>
  </si>
  <si>
    <t>Information sharing during incidents occurs ad hoc with no documented procedures or designated contacts for internal teams or external parties such as regulators and capital partners. Inconsistent sharing increases the risk of conflicting communications or missing required disclosures. Tier 3 requires a documented information-sharing protocol with defined roles and approved channels.</t>
  </si>
  <si>
    <t>Incident Mitigation</t>
  </si>
  <si>
    <t>RS.MI</t>
  </si>
  <si>
    <t>RS.MI-01</t>
  </si>
  <si>
    <t>Incidents are contained</t>
  </si>
  <si>
    <t>Containment steps are outlined at a high level in the IR plan but no incident-type-specific playbooks exist for scenarios such as ransomware, BEC, or data exfiltration. Generic containment guidance is insufficient for rapid, consistent response to MBC's most likely threat scenarios. Tier 3 requires scenario-specific containment playbooks validated through tabletop exercises.</t>
  </si>
  <si>
    <t>RS.MI-02</t>
  </si>
  <si>
    <t>Incidents are eradicated</t>
  </si>
  <si>
    <t>Eradication steps are performed after containment but no forensic verification standard exists to confirm complete removal of the threat before systems are returned to service. Premature eradication declaration risks reinfection or persistence of attacker access. Tier 3 requires a documented eradication verification checklist and sign-off criteria before closure.</t>
  </si>
  <si>
    <t>Recover</t>
  </si>
  <si>
    <t>RC</t>
  </si>
  <si>
    <t>Incident Recovery Plan Execution</t>
  </si>
  <si>
    <t>RC.RP</t>
  </si>
  <si>
    <t>RC.RP-01</t>
  </si>
  <si>
    <t>The recovery portion of the incident response plan is executed once initiated from the incident response process</t>
  </si>
  <si>
    <t>Recovery procedures are documented in the BCP but the plan has not been tested in over 18 months and does not reflect the current AWS architecture or recent system additions. An untested, stale BCP provides false assurance and will fail under real incident conditions. Tier 3 requires annual testing with documented results and a process for keeping the plan current.</t>
  </si>
  <si>
    <t>RC.RP-02</t>
  </si>
  <si>
    <t>Recovery actions are selected, scoped, prioritized, and performed</t>
  </si>
  <si>
    <t>RTO and RPO are defined for the loan origination system but recovery objectives for the customer portal and secondary services are informal and undocumented. Incomplete recovery objectives mean restoration prioritization during an incident is subjective. Tier 3 requires documented RTO/RPO for all critical systems with defined decision criteria for recovery sequencing.</t>
  </si>
  <si>
    <t>RC.RP-03</t>
  </si>
  <si>
    <t>The integrity of backups and other restoration assets is verified before using them for restoration</t>
  </si>
  <si>
    <t>AWS Backup is configured and integrity checks run automatically, but restoration testing is ad hoc with no defined frequency, scope, or success criteria. Without tested restoration, backup integrity cannot be operationally confirmed. Tier 3 requires scheduled restoration tests with documented outcomes and remediation of identified gaps.</t>
  </si>
  <si>
    <t>RC.RP-04</t>
  </si>
  <si>
    <t>Critical mission functions and cybersecurity risk management are considered to establish post-incident operational norms</t>
  </si>
  <si>
    <t>No criteria are defined for what constitutes restored normal operations post-incident, and the decision to resume is made informally. Without explicit operational norms, premature return to service can expose residual risks or compromise ongoing investigation integrity. Tier 3 requires documented criteria for post-incident operational resumption aligned to the IR and BCP.</t>
  </si>
  <si>
    <t>RC.RP-05</t>
  </si>
  <si>
    <t>The integrity of restored assets is verified, systems and services are restored, and normal operating status is confirmed</t>
  </si>
  <si>
    <t>No verification checklist exists for confirming the integrity of restored systems before returning them to production. Confirmation of normal operating status is informal and relies on individual judgment rather than defined acceptance criteria. Tier 3 requires a structured verification checklist and a formal sign-off process for restoration completion.</t>
  </si>
  <si>
    <t>RC.RP-06</t>
  </si>
  <si>
    <t>The end of incident recovery is declared based on criteria, and incident-related documentation is completed</t>
  </si>
  <si>
    <t>No formal criteria exist for declaring end of incident recovery, and no post-incident report template is used to capture lessons learned and follow-up actions. Without a formal closure process, findings are lost and the same gaps recur. Tier 3 requires defined closure criteria and a mandatory post-incident report completed within a defined timeframe.</t>
  </si>
  <si>
    <t>Incident Recovery Communication</t>
  </si>
  <si>
    <t>RC.CO</t>
  </si>
  <si>
    <t>RC.CO-03</t>
  </si>
  <si>
    <t>Recovery activities and progress in restoring operational capabilities are communicated to designated internal and external stakeholders</t>
  </si>
  <si>
    <t>Executive and stakeholder updates during recovery are communicated informally with no structured cadence or defined content requirements. Inconsistent updates create confusion and may result in conflicting external communications. Tier 3 requires a defined status communication process with designated owners, update frequency, and approved channels.</t>
  </si>
  <si>
    <t>RC.CO-04</t>
  </si>
  <si>
    <t>Public updates on incident recovery are properly shared using approved methods and messaging</t>
  </si>
  <si>
    <t>No crisis communications plan exists and no pre-approved messaging templates have been developed for external or public disclosure during incident recovery. Drafting public statements during an active incident without prior approval increases legal and reputational risk. Tier 3 requires pre-approved templates reviewed by legal and communications, with a defined approval workflow for public updates.</t>
  </si>
  <si>
    <t>Findings</t>
  </si>
  <si>
    <t>Title</t>
  </si>
  <si>
    <t>Subcategory IDs</t>
  </si>
  <si>
    <t>Current State</t>
  </si>
  <si>
    <t>Risk</t>
  </si>
  <si>
    <t>Recommendation</t>
  </si>
  <si>
    <t>Severity (1-5)</t>
  </si>
  <si>
    <t>Effort (S/M/L/XL)</t>
  </si>
  <si>
    <t>Priority</t>
  </si>
  <si>
    <t>Phase</t>
  </si>
  <si>
    <t>Owner</t>
  </si>
  <si>
    <t>F-01</t>
  </si>
  <si>
    <t>Unencrypted FTP Transmission to State Regulator</t>
  </si>
  <si>
    <t>An active FTP channel transmits borrower data to a state regulator without encryption. No compensating controls are in place and the issue is documented as an open known issue.</t>
  </si>
  <si>
    <t>Direct violation of FTC Safeguards Rule and GLBA data-in-transit requirements. Regulatory examination or breach could trigger enforcement action and reputational damage.</t>
  </si>
  <si>
    <t>Replace FTP immediately with SFTP or HTTPS-based file transfer. Enforce a transport encryption policy for all external data transmission. Notify legal to assess regulatory disclosure obligation.</t>
  </si>
  <si>
    <t>S</t>
  </si>
  <si>
    <t>High</t>
  </si>
  <si>
    <t>Phase 1</t>
  </si>
  <si>
    <t>IT / Security</t>
  </si>
  <si>
    <t>Open</t>
  </si>
  <si>
    <t>F-02</t>
  </si>
  <si>
    <t>No Quarterly Access Reviews or Least-Privilege Enforcement</t>
  </si>
  <si>
    <t>Access entitlements have not been recertified on a quarterly basis. Role definitions have not been updated to reflect 50% headcount growth over 18 months, resulting in widespread overprivileged accounts.</t>
  </si>
  <si>
    <t>Overprivileged accounts create insider threat risk and lateral movement paths for attackers. This is a near-certain finding in a SOC 2 Type II audit and a GLBA examination.</t>
  </si>
  <si>
    <t>Implement quarterly access review process using structured manual or IAM tooling. Define RBAC profiles for all job functions. Remediate exceptions from the first review cycle within 30 days.</t>
  </si>
  <si>
    <t>L</t>
  </si>
  <si>
    <t>IT / HR</t>
  </si>
  <si>
    <t>F-03</t>
  </si>
  <si>
    <t>IR Plan Untested and External Retainer Expired</t>
  </si>
  <si>
    <t>Tabletop exercises are overdue per the open known issues log and the Mandiant IR retainer has expired. The IR plan has not been validated against current AWS architecture or personnel changes.</t>
  </si>
  <si>
    <t>An untested IR plan with no external support creates unacceptable breach response risk for a lender handling borrower PII. GLBA and state breach notification laws impose strict timelines.</t>
  </si>
  <si>
    <t>Renew or replace the IR retainer with a qualified DFIR firm immediately. Conduct a tabletop exercise within 60 days covering ransomware and PII exfiltration scenarios. Update the IR plan to reflect current architecture and personnel.</t>
  </si>
  <si>
    <t>M</t>
  </si>
  <si>
    <t>Security / Legal</t>
  </si>
  <si>
    <t>F-04</t>
  </si>
  <si>
    <t>Production Borrower Data Present in Staging Environment</t>
  </si>
  <si>
    <t>Production PII including borrower financial data has been identified in the staging environment. Staging access controls are materially less restrictive than production.</t>
  </si>
  <si>
    <t>Unauthorized access to borrower PII in staging creates GLBA and FTC Safeguards Rule exposure. This is an active open issue with no documented remediation timeline.</t>
  </si>
  <si>
    <t>Immediately purge production data from staging. Implement data masking or synthetic data generation for all non-production environments. Enforce a technical control preventing production data from being copied to lower environments.</t>
  </si>
  <si>
    <t>Engineering / Security</t>
  </si>
  <si>
    <t>F-05</t>
  </si>
  <si>
    <t>MFA Not Consistently Enforced Across All Systems</t>
  </si>
  <si>
    <t>PR.AA-01, PR.AA-03</t>
  </si>
  <si>
    <t>MFA is not enforced on all systems including legacy platforms and some internal applications. The legacy servicing portal maintains local accounts outside Active Directory with no MFA requirement.</t>
  </si>
  <si>
    <t>Credential stuffing and account takeover are active attack vectors for fintech lenders. Inconsistent MFA enforcement leaves high-value systems exposed to credential-based intrusion.</t>
  </si>
  <si>
    <t>Inventory all systems and their MFA coverage. Enforce MFA for all internet-facing systems and privileged access immediately. Develop a 90-day roadmap to extend MFA to remaining internal systems and migrate legacy portal accounts into the IdP.</t>
  </si>
  <si>
    <t>F-06</t>
  </si>
  <si>
    <t>No Real-Time Network Monitoring or SIEM</t>
  </si>
  <si>
    <t>DE.CM-01, DE.AE-03</t>
  </si>
  <si>
    <t>VPC flow logs are collected but no SIEM aggregates or analyzes them in real time. Log sources across network, endpoint, application, and identity are siloed with no cross-source correlation capability.</t>
  </si>
  <si>
    <t>No real-time detection capability creates high adversarial dwell time. Multi-stage attacks spanning system boundaries cannot be detected or investigated. This gap undermines the effectiveness of all other detective controls.</t>
  </si>
  <si>
    <t>Deploy a SIEM with ingestion of VPC flow logs, CloudTrail, and application logs as a baseline. Define detection rules for the top threat scenarios for fintech lenders. Establish alert SLAs and an on-call triage workflow.</t>
  </si>
  <si>
    <t>XL</t>
  </si>
  <si>
    <t>Phase 2</t>
  </si>
  <si>
    <t>Security</t>
  </si>
  <si>
    <t>F-07</t>
  </si>
  <si>
    <t>No Endpoint Detection and Response (EDR) Deployed</t>
  </si>
  <si>
    <t>No EDR tooling is deployed on corporate endpoints or servers. Workstation and server activity is invisible to the security function, and no user behavior analytics exists to identify anomalous internal activity.</t>
  </si>
  <si>
    <t>Insider threats and endpoint-based intrusions cannot be detected or investigated. EDR is a foundational control expected by SOC 2 auditors, cyber insurers, and institutional capital partners.</t>
  </si>
  <si>
    <t>Deploy EDR across all corporate endpoints and servers. Configure baseline detection for credential theft, lateral movement, and persistence. Integrate EDR alerts into the incident triage workflow.</t>
  </si>
  <si>
    <t>Security / IT</t>
  </si>
  <si>
    <t>F-08</t>
  </si>
  <si>
    <t>BCP Untested and Not Reflecting Current Architecture</t>
  </si>
  <si>
    <t>RC.RP-01, RC.RP-02</t>
  </si>
  <si>
    <t>The BCP has not been tested in over 18 months and does not reflect the current AWS architecture, headcount growth, or system additions. RTO/RPO are defined for the LOS but not for the customer portal or secondary services.</t>
  </si>
  <si>
    <t>An untested, stale BCP provides false assurance and will fail under real incident conditions. Incomplete recovery objectives mean restoration prioritization during an incident will be ad hoc.</t>
  </si>
  <si>
    <t>Update the BCP to reflect current architecture and personnel. Conduct a full BCP test within 90 days with documented results. Define RTO/RPO for all critical systems and establish an annual review and test cycle.</t>
  </si>
  <si>
    <t>Medium</t>
  </si>
  <si>
    <t>Security / IT / Ops</t>
  </si>
  <si>
    <t>F-09</t>
  </si>
  <si>
    <t>No Root Cause Analysis Process or Post-Incident Review Standard</t>
  </si>
  <si>
    <t>RS.AN-03, RS.AN-06</t>
  </si>
  <si>
    <t>Post-incident reviews occur sporadically without a defined RCA methodology, required participants, or findings tracking. Analyst activity during investigations is captured informally in Slack with no chain-of-custody process.</t>
  </si>
  <si>
    <t>Without systematic RCA, recurring control failures go unaddressed. Informal evidence handling is insufficient for regulatory inquiries, litigation, or cyber insurance claims.</t>
  </si>
  <si>
    <t>Define a mandatory post-incident RCA process for all Severity 1 and 2 incidents with completion required within 14 days of closure. Establish an evidence handling procedure with tamper-evident logging and a case management tool.</t>
  </si>
  <si>
    <t>F-10</t>
  </si>
  <si>
    <t>No Crisis Communications Plan for External Incident Disclosure</t>
  </si>
  <si>
    <t>RC.CO-04, RS.CO-02</t>
  </si>
  <si>
    <t>No crisis communications plan exists and no pre-approved messaging templates have been developed for external or public disclosure. Stakeholder notification obligations are understood at a general level but no SLAs or contact lists are defined.</t>
  </si>
  <si>
    <t>Drafting public statements during an active incident without prior legal approval increases regulatory and reputational risk. Undefined notification SLAs create GLBA and state breach notification law exposure.</t>
  </si>
  <si>
    <t>Develop a crisis communications plan covering regulators, capital partners, and public channels. Create pre-approved templates for the top three incident scenarios reviewed by legal. Establish a defined approval workflow and notification SLAs.</t>
  </si>
  <si>
    <t>Phase 3</t>
  </si>
  <si>
    <t>Legal / Comms / Security</t>
  </si>
  <si>
    <t>Dashboard</t>
  </si>
  <si>
    <t>Maturity Dashboard</t>
  </si>
  <si>
    <t>Auto-calculated from the CSF Scoring tab. Updates as you score subcategories.</t>
  </si>
  <si>
    <t>Function-Level Maturity</t>
  </si>
  <si>
    <t>Avg Current</t>
  </si>
  <si>
    <t>Avg Target</t>
  </si>
  <si>
    <t>Avg Gap</t>
  </si>
  <si>
    <t>% Scored</t>
  </si>
  <si>
    <t>Description</t>
  </si>
  <si>
    <t>Establish, communicate, and monitor the organization's cybersecurity risk management strategy, expectations, and policy</t>
  </si>
  <si>
    <t>Help determine the current cybersecurity risk to the organization</t>
  </si>
  <si>
    <t>Use safeguards to prevent or reduce cybersecurity risk</t>
  </si>
  <si>
    <t>Find and analyze possible cybersecurity attacks and compromises</t>
  </si>
  <si>
    <t>Take action regarding a detected cybersecurity incident</t>
  </si>
  <si>
    <t>Restore assets and operations affected by a cybersecurity incident</t>
  </si>
  <si>
    <t>ALL</t>
  </si>
  <si>
    <t>Overall</t>
  </si>
  <si>
    <t>Across all 106 subcategories</t>
  </si>
  <si>
    <t>Gap Distribution</t>
  </si>
  <si>
    <t>Gap Size</t>
  </si>
  <si>
    <t>Meaning</t>
  </si>
  <si>
    <t>Count</t>
  </si>
  <si>
    <t>% of Total</t>
  </si>
  <si>
    <t>On target — no action</t>
  </si>
  <si>
    <t>Minor gap — single tier</t>
  </si>
  <si>
    <t>Moderate gap — two tiers</t>
  </si>
  <si>
    <t>Major gap — three tiers</t>
  </si>
  <si>
    <t>Current Tier Distribution</t>
  </si>
  <si>
    <t>% of Scored</t>
  </si>
</sst>
</file>

<file path=xl/styles.xml><?xml version="1.0" encoding="utf-8"?>
<styleSheet xmlns="http://schemas.openxmlformats.org/spreadsheetml/2006/main">
  <numFmts count="1">
    <numFmt numFmtId="0" formatCode="General"/>
  </numFmts>
  <fonts count="1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8"/>
      <color indexed="14"/>
      <name val="Arial"/>
    </font>
    <font>
      <sz val="9"/>
      <color indexed="15"/>
      <name val="Arial"/>
    </font>
    <font>
      <sz val="13"/>
      <color indexed="16"/>
      <name val="Arial"/>
    </font>
    <font>
      <sz val="10"/>
      <color indexed="14"/>
      <name val="Arial"/>
    </font>
    <font>
      <sz val="11"/>
      <color indexed="14"/>
      <name val="Arial"/>
    </font>
    <font>
      <sz val="10"/>
      <color indexed="12"/>
      <name val="Arial"/>
    </font>
    <font>
      <sz val="14"/>
      <color indexed="14"/>
      <name val="Arial"/>
    </font>
    <font>
      <sz val="12"/>
      <color indexed="8"/>
      <name val="Times Roman"/>
    </font>
    <font>
      <u val="single"/>
      <sz val="12"/>
      <color indexed="11"/>
      <name val="Times Roman"/>
    </font>
    <font>
      <sz val="9"/>
      <color indexed="8"/>
      <name val="Arial"/>
    </font>
    <font>
      <b val="1"/>
      <sz val="9"/>
      <color indexed="12"/>
      <name val="Arial"/>
    </font>
    <font>
      <b val="1"/>
      <sz val="9"/>
      <color indexed="8"/>
      <name val="Arial"/>
    </font>
  </fonts>
  <fills count="24">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14"/>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28"/>
        <bgColor auto="1"/>
      </patternFill>
    </fill>
    <fill>
      <patternFill patternType="solid">
        <fgColor indexed="29"/>
        <bgColor auto="1"/>
      </patternFill>
    </fill>
    <fill>
      <patternFill patternType="solid">
        <fgColor indexed="30"/>
        <bgColor auto="1"/>
      </patternFill>
    </fill>
    <fill>
      <patternFill patternType="solid">
        <fgColor indexed="31"/>
        <bgColor auto="1"/>
      </patternFill>
    </fill>
    <fill>
      <patternFill patternType="solid">
        <fgColor indexed="32"/>
        <bgColor auto="1"/>
      </patternFill>
    </fill>
    <fill>
      <patternFill patternType="solid">
        <fgColor indexed="33"/>
        <bgColor auto="1"/>
      </patternFill>
    </fill>
    <fill>
      <patternFill patternType="solid">
        <fgColor indexed="34"/>
        <bgColor auto="1"/>
      </patternFill>
    </fill>
    <fill>
      <patternFill patternType="solid">
        <fgColor indexed="35"/>
        <bgColor auto="1"/>
      </patternFill>
    </fill>
    <fill>
      <patternFill patternType="solid">
        <fgColor indexed="36"/>
        <bgColor auto="1"/>
      </patternFill>
    </fill>
  </fills>
  <borders count="17">
    <border>
      <left/>
      <right/>
      <top/>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7"/>
      </bottom>
      <diagonal/>
    </border>
    <border>
      <left style="thin">
        <color indexed="13"/>
      </left>
      <right style="thin">
        <color indexed="17"/>
      </right>
      <top style="thin">
        <color indexed="13"/>
      </top>
      <bottom style="thin">
        <color indexed="13"/>
      </bottom>
      <diagonal/>
    </border>
    <border>
      <left style="thin">
        <color indexed="17"/>
      </left>
      <right style="thin">
        <color indexed="17"/>
      </right>
      <top style="thin">
        <color indexed="17"/>
      </top>
      <bottom style="thin">
        <color indexed="17"/>
      </bottom>
      <diagonal/>
    </border>
    <border>
      <left style="thin">
        <color indexed="17"/>
      </left>
      <right style="thin">
        <color indexed="13"/>
      </right>
      <top style="thin">
        <color indexed="13"/>
      </top>
      <bottom style="thin">
        <color indexed="13"/>
      </bottom>
      <diagonal/>
    </border>
    <border>
      <left style="thin">
        <color indexed="13"/>
      </left>
      <right style="thin">
        <color indexed="13"/>
      </right>
      <top style="thin">
        <color indexed="17"/>
      </top>
      <bottom style="thin">
        <color indexed="13"/>
      </bottom>
      <diagonal/>
    </border>
    <border>
      <left style="thin">
        <color indexed="14"/>
      </left>
      <right style="thin">
        <color indexed="14"/>
      </right>
      <top style="thin">
        <color indexed="14"/>
      </top>
      <bottom style="thin">
        <color indexed="17"/>
      </bottom>
      <diagonal/>
    </border>
    <border>
      <left style="thin">
        <color indexed="17"/>
      </left>
      <right style="thin">
        <color indexed="13"/>
      </right>
      <top style="thin">
        <color indexed="17"/>
      </top>
      <bottom style="thin">
        <color indexed="13"/>
      </bottom>
      <diagonal/>
    </border>
    <border>
      <left style="thin">
        <color indexed="13"/>
      </left>
      <right style="thin">
        <color indexed="17"/>
      </right>
      <top style="thin">
        <color indexed="17"/>
      </top>
      <bottom style="thin">
        <color indexed="13"/>
      </bottom>
      <diagonal/>
    </border>
    <border>
      <left style="thin">
        <color indexed="14"/>
      </left>
      <right style="thin">
        <color indexed="14"/>
      </right>
      <top style="thin">
        <color indexed="14"/>
      </top>
      <bottom style="thin">
        <color indexed="13"/>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3"/>
      </top>
      <bottom style="thin">
        <color indexed="13"/>
      </bottom>
      <diagonal/>
    </border>
    <border>
      <left style="thin">
        <color indexed="17"/>
      </left>
      <right style="thin">
        <color indexed="17"/>
      </right>
      <top style="thin">
        <color indexed="17"/>
      </top>
      <bottom style="thin">
        <color indexed="14"/>
      </bottom>
      <diagonal/>
    </border>
    <border>
      <left style="thin">
        <color indexed="14"/>
      </left>
      <right style="thin">
        <color indexed="14"/>
      </right>
      <top style="thin">
        <color indexed="14"/>
      </top>
      <bottom style="thin">
        <color indexed="14"/>
      </bottom>
      <diagonal/>
    </border>
    <border>
      <left style="thin">
        <color indexed="13"/>
      </left>
      <right style="thin">
        <color indexed="13"/>
      </right>
      <top style="thin">
        <color indexed="14"/>
      </top>
      <bottom style="thin">
        <color indexed="13"/>
      </bottom>
      <diagonal/>
    </border>
    <border>
      <left style="thin">
        <color indexed="14"/>
      </left>
      <right style="thin">
        <color indexed="13"/>
      </right>
      <top style="thin">
        <color indexed="13"/>
      </top>
      <bottom style="thin">
        <color indexed="13"/>
      </bottom>
      <diagonal/>
    </border>
  </borders>
  <cellStyleXfs count="1">
    <xf numFmtId="0" fontId="0" applyNumberFormat="0" applyFont="1" applyFill="0" applyBorder="0" applyAlignment="1" applyProtection="0">
      <alignment vertical="bottom"/>
    </xf>
  </cellStyleXfs>
  <cellXfs count="116">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borderId="1" applyNumberFormat="0" applyFont="1" applyFill="0" applyBorder="1" applyAlignment="1" applyProtection="0">
      <alignment vertical="bottom"/>
    </xf>
    <xf numFmtId="49" fontId="6" fillId="4" borderId="1" applyNumberFormat="1" applyFont="1" applyFill="1" applyBorder="1" applyAlignment="1" applyProtection="0">
      <alignment vertical="bottom"/>
    </xf>
    <xf numFmtId="49" fontId="7" fillId="4" borderId="1" applyNumberFormat="1" applyFont="1" applyFill="1" applyBorder="1" applyAlignment="1" applyProtection="0">
      <alignment vertical="bottom"/>
    </xf>
    <xf numFmtId="49" fontId="8" fillId="4" borderId="1" applyNumberFormat="1" applyFont="1" applyFill="1" applyBorder="1" applyAlignment="1" applyProtection="0">
      <alignment vertical="bottom"/>
    </xf>
    <xf numFmtId="49" fontId="9" fillId="4" borderId="1" applyNumberFormat="1" applyFont="1" applyFill="1" applyBorder="1" applyAlignment="1" applyProtection="0">
      <alignment horizontal="left" vertical="top" wrapText="1"/>
    </xf>
    <xf numFmtId="49" fontId="8" fillId="4" borderId="2" applyNumberFormat="1" applyFont="1" applyFill="1" applyBorder="1" applyAlignment="1" applyProtection="0">
      <alignment vertical="bottom"/>
    </xf>
    <xf numFmtId="0" fontId="0" fillId="4" borderId="3" applyNumberFormat="0" applyFont="1" applyFill="1" applyBorder="1" applyAlignment="1" applyProtection="0">
      <alignment vertical="bottom"/>
    </xf>
    <xf numFmtId="49" fontId="10" fillId="5" borderId="4" applyNumberFormat="1" applyFont="1" applyFill="1" applyBorder="1" applyAlignment="1" applyProtection="0">
      <alignment horizontal="left" vertical="center" wrapText="1"/>
    </xf>
    <xf numFmtId="0" fontId="0" borderId="5" applyNumberFormat="0" applyFont="1" applyFill="0" applyBorder="1" applyAlignment="1" applyProtection="0">
      <alignment vertical="bottom"/>
    </xf>
    <xf numFmtId="49" fontId="9" fillId="4" borderId="4" applyNumberFormat="1" applyFont="1" applyFill="1" applyBorder="1" applyAlignment="1" applyProtection="0">
      <alignment horizontal="left" vertical="top" wrapText="1"/>
    </xf>
    <xf numFmtId="0" fontId="0" fillId="4" borderId="6" applyNumberFormat="0" applyFont="1" applyFill="1" applyBorder="1" applyAlignment="1" applyProtection="0">
      <alignment vertical="bottom"/>
    </xf>
    <xf numFmtId="49" fontId="7" fillId="4" borderId="1"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1" fontId="6" fillId="4" borderId="1" applyNumberFormat="1" applyFont="1" applyFill="1" applyBorder="1" applyAlignment="1" applyProtection="0">
      <alignment vertical="bottom"/>
    </xf>
    <xf numFmtId="0" fontId="0" fillId="4" borderId="2" applyNumberFormat="0" applyFont="1" applyFill="1" applyBorder="1" applyAlignment="1" applyProtection="0">
      <alignment vertical="bottom"/>
    </xf>
    <xf numFmtId="49" fontId="11" fillId="6" borderId="4" applyNumberFormat="1" applyFont="1" applyFill="1" applyBorder="1" applyAlignment="1" applyProtection="0">
      <alignment horizontal="center" vertical="center" wrapText="1"/>
    </xf>
    <xf numFmtId="1" fontId="12" fillId="7" borderId="4" applyNumberFormat="1" applyFont="1" applyFill="1" applyBorder="1" applyAlignment="1" applyProtection="0">
      <alignment horizontal="center" vertical="center" wrapText="1"/>
    </xf>
    <xf numFmtId="49" fontId="10" fillId="7" borderId="4" applyNumberFormat="1" applyFont="1" applyFill="1" applyBorder="1" applyAlignment="1" applyProtection="0">
      <alignment horizontal="left" vertical="center" wrapText="1"/>
    </xf>
    <xf numFmtId="49" fontId="9" fillId="7" borderId="4" applyNumberFormat="1" applyFont="1" applyFill="1" applyBorder="1" applyAlignment="1" applyProtection="0">
      <alignment horizontal="left" vertical="top" wrapText="1"/>
    </xf>
    <xf numFmtId="1" fontId="12" fillId="8" borderId="4" applyNumberFormat="1" applyFont="1" applyFill="1" applyBorder="1" applyAlignment="1" applyProtection="0">
      <alignment horizontal="center" vertical="center" wrapText="1"/>
    </xf>
    <xf numFmtId="49" fontId="10" fillId="8" borderId="4" applyNumberFormat="1" applyFont="1" applyFill="1" applyBorder="1" applyAlignment="1" applyProtection="0">
      <alignment horizontal="left" vertical="center" wrapText="1"/>
    </xf>
    <xf numFmtId="49" fontId="9" fillId="8" borderId="4" applyNumberFormat="1" applyFont="1" applyFill="1" applyBorder="1" applyAlignment="1" applyProtection="0">
      <alignment horizontal="left" vertical="top" wrapText="1"/>
    </xf>
    <xf numFmtId="1" fontId="12" fillId="5" borderId="4"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left" vertical="top" wrapText="1"/>
    </xf>
    <xf numFmtId="1" fontId="12" fillId="9" borderId="4" applyNumberFormat="1" applyFont="1" applyFill="1" applyBorder="1" applyAlignment="1" applyProtection="0">
      <alignment horizontal="center" vertical="center" wrapText="1"/>
    </xf>
    <xf numFmtId="49" fontId="10" fillId="9" borderId="4" applyNumberFormat="1" applyFont="1" applyFill="1" applyBorder="1" applyAlignment="1" applyProtection="0">
      <alignment horizontal="left" vertical="center" wrapText="1"/>
    </xf>
    <xf numFmtId="49" fontId="9" fillId="9" borderId="4" applyNumberFormat="1" applyFont="1" applyFill="1" applyBorder="1" applyAlignment="1" applyProtection="0">
      <alignment horizontal="left" vertical="top" wrapText="1"/>
    </xf>
    <xf numFmtId="1" fontId="8" fillId="4" borderId="1" applyNumberFormat="1" applyFont="1" applyFill="1" applyBorder="1" applyAlignment="1" applyProtection="0">
      <alignment vertical="bottom"/>
    </xf>
    <xf numFmtId="49" fontId="9" fillId="4" borderId="1" applyNumberFormat="1" applyFont="1" applyFill="1" applyBorder="1" applyAlignment="1" applyProtection="0">
      <alignment vertical="bottom"/>
    </xf>
    <xf numFmtId="1" fontId="9" fillId="4" borderId="1" applyNumberFormat="1" applyFont="1" applyFill="1" applyBorder="1" applyAlignment="1" applyProtection="0">
      <alignment vertical="bottom"/>
    </xf>
    <xf numFmtId="0" fontId="0" applyNumberFormat="1" applyFont="1" applyFill="0" applyBorder="0" applyAlignment="1" applyProtection="0">
      <alignment vertical="bottom"/>
    </xf>
    <xf numFmtId="49" fontId="11" fillId="6" borderId="7"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center" vertical="center" wrapText="1"/>
    </xf>
    <xf numFmtId="0" fontId="0" fillId="4" borderId="4" applyNumberFormat="1" applyFont="1" applyFill="1" applyBorder="1" applyAlignment="1" applyProtection="0">
      <alignment horizontal="center" vertical="center" wrapText="1"/>
    </xf>
    <xf numFmtId="1" fontId="0" fillId="4" borderId="4" applyNumberFormat="1" applyFont="1" applyFill="1" applyBorder="1" applyAlignment="1" applyProtection="0">
      <alignment horizontal="center" vertical="center" wrapText="1"/>
    </xf>
    <xf numFmtId="49" fontId="13" fillId="4" borderId="4" applyNumberFormat="1" applyFont="1" applyFill="1" applyBorder="1" applyAlignment="1" applyProtection="0">
      <alignment vertical="top" wrapText="1"/>
    </xf>
    <xf numFmtId="0" fontId="0" fillId="4" borderId="4" applyNumberFormat="0" applyFont="1" applyFill="1" applyBorder="1" applyAlignment="1" applyProtection="0">
      <alignment horizontal="center" vertical="center" wrapText="1"/>
    </xf>
    <xf numFmtId="49" fontId="0" fillId="4" borderId="4" applyNumberFormat="1" applyFont="1" applyFill="1" applyBorder="1" applyAlignment="1" applyProtection="0">
      <alignment horizontal="left" vertical="top" wrapText="1"/>
    </xf>
    <xf numFmtId="49" fontId="9" fillId="9" borderId="4" applyNumberFormat="1" applyFont="1" applyFill="1" applyBorder="1" applyAlignment="1" applyProtection="0">
      <alignment horizontal="center" vertical="center" wrapText="1"/>
    </xf>
    <xf numFmtId="49" fontId="9" fillId="8" borderId="4" applyNumberFormat="1" applyFont="1" applyFill="1" applyBorder="1" applyAlignment="1" applyProtection="0">
      <alignment horizontal="center" vertical="center" wrapText="1"/>
    </xf>
    <xf numFmtId="0" fontId="0" fillId="4" borderId="8" applyNumberFormat="1" applyFont="1" applyFill="1" applyBorder="1" applyAlignment="1" applyProtection="0">
      <alignment horizontal="center" vertical="center" wrapText="1"/>
    </xf>
    <xf numFmtId="0" fontId="0" fillId="4" borderId="9" applyNumberFormat="1" applyFont="1" applyFill="1" applyBorder="1" applyAlignment="1" applyProtection="0">
      <alignment horizontal="center" vertical="center" wrapText="1"/>
    </xf>
    <xf numFmtId="0" fontId="0" fillId="4" borderId="5" applyNumberFormat="1" applyFont="1" applyFill="1" applyBorder="1" applyAlignment="1" applyProtection="0">
      <alignment horizontal="center" vertical="center" wrapText="1"/>
    </xf>
    <xf numFmtId="0" fontId="0" fillId="4" borderId="3" applyNumberFormat="1" applyFont="1" applyFill="1" applyBorder="1" applyAlignment="1" applyProtection="0">
      <alignment horizontal="center" vertical="center" wrapText="1"/>
    </xf>
    <xf numFmtId="49" fontId="9" fillId="7" borderId="4" applyNumberFormat="1" applyFont="1" applyFill="1" applyBorder="1" applyAlignment="1" applyProtection="0">
      <alignment horizontal="center" vertical="center" wrapText="1"/>
    </xf>
    <xf numFmtId="49" fontId="9" fillId="10" borderId="4" applyNumberFormat="1" applyFont="1" applyFill="1" applyBorder="1" applyAlignment="1" applyProtection="0">
      <alignment horizontal="center" vertical="center" wrapText="1"/>
    </xf>
    <xf numFmtId="49" fontId="9" fillId="10" borderId="4" applyNumberFormat="1" applyFont="1" applyFill="1" applyBorder="1" applyAlignment="1" applyProtection="0">
      <alignment horizontal="left" vertical="top" wrapText="1"/>
    </xf>
    <xf numFmtId="49" fontId="9" fillId="11" borderId="4" applyNumberFormat="1" applyFont="1" applyFill="1" applyBorder="1" applyAlignment="1" applyProtection="0">
      <alignment horizontal="center" vertical="center" wrapText="1"/>
    </xf>
    <xf numFmtId="49" fontId="9" fillId="11" borderId="4"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49" fontId="11" fillId="6" borderId="10" applyNumberFormat="1" applyFont="1" applyFill="1" applyBorder="1" applyAlignment="1" applyProtection="0">
      <alignment horizontal="center" vertical="center" wrapText="1"/>
    </xf>
    <xf numFmtId="49" fontId="15" fillId="12" borderId="1" applyNumberFormat="1" applyFont="1" applyFill="1" applyBorder="1" applyAlignment="1" applyProtection="0">
      <alignment horizontal="center" vertical="top" wrapText="1"/>
    </xf>
    <xf numFmtId="49" fontId="15" fillId="12" borderId="1" applyNumberFormat="1" applyFont="1" applyFill="1" applyBorder="1" applyAlignment="1" applyProtection="0">
      <alignment horizontal="left" vertical="top" wrapText="1"/>
    </xf>
    <xf numFmtId="0" fontId="16" fillId="13" borderId="1" applyNumberFormat="1" applyFont="1" applyFill="1" applyBorder="1" applyAlignment="1" applyProtection="0">
      <alignment horizontal="center" vertical="top" wrapText="1"/>
    </xf>
    <xf numFmtId="49" fontId="17" fillId="14" borderId="1" applyNumberFormat="1" applyFont="1" applyFill="1" applyBorder="1" applyAlignment="1" applyProtection="0">
      <alignment horizontal="center" vertical="top" wrapText="1"/>
    </xf>
    <xf numFmtId="49" fontId="17" fillId="15" borderId="1" applyNumberFormat="1" applyFont="1" applyFill="1" applyBorder="1" applyAlignment="1" applyProtection="0">
      <alignment horizontal="center" vertical="top" wrapText="1"/>
    </xf>
    <xf numFmtId="49" fontId="17" fillId="16" borderId="1" applyNumberFormat="1" applyFont="1" applyFill="1" applyBorder="1" applyAlignment="1" applyProtection="0">
      <alignment horizontal="center" vertical="top" wrapText="1"/>
    </xf>
    <xf numFmtId="49" fontId="15" fillId="17" borderId="1" applyNumberFormat="1" applyFont="1" applyFill="1" applyBorder="1" applyAlignment="1" applyProtection="0">
      <alignment horizontal="center" vertical="top" wrapText="1"/>
    </xf>
    <xf numFmtId="49" fontId="15" fillId="17" borderId="1" applyNumberFormat="1" applyFont="1" applyFill="1" applyBorder="1" applyAlignment="1" applyProtection="0">
      <alignment horizontal="left" vertical="top" wrapText="1"/>
    </xf>
    <xf numFmtId="49" fontId="17" fillId="18" borderId="1" applyNumberFormat="1" applyFont="1" applyFill="1" applyBorder="1" applyAlignment="1" applyProtection="0">
      <alignment horizontal="center" vertical="top" wrapText="1"/>
    </xf>
    <xf numFmtId="0" fontId="16" fillId="19" borderId="1" applyNumberFormat="1" applyFont="1" applyFill="1" applyBorder="1" applyAlignment="1" applyProtection="0">
      <alignment horizontal="center" vertical="top" wrapText="1"/>
    </xf>
    <xf numFmtId="49" fontId="15" fillId="20" borderId="1" applyNumberFormat="1" applyFont="1" applyFill="1" applyBorder="1" applyAlignment="1" applyProtection="0">
      <alignment horizontal="center" vertical="top" wrapText="1"/>
    </xf>
    <xf numFmtId="49" fontId="15" fillId="20" borderId="1" applyNumberFormat="1" applyFont="1" applyFill="1" applyBorder="1" applyAlignment="1" applyProtection="0">
      <alignment horizontal="left" vertical="top" wrapText="1"/>
    </xf>
    <xf numFmtId="49" fontId="17" fillId="21" borderId="1" applyNumberFormat="1" applyFont="1" applyFill="1" applyBorder="1" applyAlignment="1" applyProtection="0">
      <alignment horizontal="center" vertical="top" wrapText="1"/>
    </xf>
    <xf numFmtId="49" fontId="15" fillId="22" borderId="1" applyNumberFormat="1" applyFont="1" applyFill="1" applyBorder="1" applyAlignment="1" applyProtection="0">
      <alignment horizontal="center" vertical="top" wrapText="1"/>
    </xf>
    <xf numFmtId="49" fontId="15" fillId="22" borderId="1" applyNumberFormat="1" applyFont="1" applyFill="1" applyBorder="1" applyAlignment="1" applyProtection="0">
      <alignment horizontal="left" vertical="top" wrapText="1"/>
    </xf>
    <xf numFmtId="0" fontId="17" fillId="23" borderId="1" applyNumberFormat="1" applyFont="1" applyFill="1" applyBorder="1" applyAlignment="1" applyProtection="0">
      <alignment horizontal="center" vertical="top" wrapText="1"/>
    </xf>
    <xf numFmtId="0" fontId="0" applyNumberFormat="1" applyFont="1" applyFill="0" applyBorder="0" applyAlignment="1" applyProtection="0">
      <alignment vertical="bottom"/>
    </xf>
    <xf numFmtId="1" fontId="7" fillId="4" borderId="1" applyNumberFormat="1" applyFont="1" applyFill="1" applyBorder="1" applyAlignment="1" applyProtection="0">
      <alignment vertical="bottom"/>
    </xf>
    <xf numFmtId="49" fontId="8" fillId="4" borderId="11" applyNumberFormat="1" applyFont="1" applyFill="1" applyBorder="1" applyAlignment="1" applyProtection="0">
      <alignment vertical="bottom"/>
    </xf>
    <xf numFmtId="1" fontId="8" fillId="4" borderId="11"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0" fillId="5" borderId="4" applyNumberFormat="1" applyFont="1" applyFill="1" applyBorder="1" applyAlignment="1" applyProtection="0">
      <alignment horizontal="center" vertical="center" wrapText="1"/>
    </xf>
    <xf numFmtId="2" fontId="0" fillId="4" borderId="4" applyNumberFormat="1" applyFont="1" applyFill="1" applyBorder="1" applyAlignment="1" applyProtection="0">
      <alignment horizontal="center" vertical="center" wrapText="1"/>
    </xf>
    <xf numFmtId="9" fontId="0" fillId="4" borderId="4" applyNumberFormat="1" applyFont="1" applyFill="1" applyBorder="1" applyAlignment="1" applyProtection="0">
      <alignment horizontal="center" vertical="center" wrapText="1"/>
    </xf>
    <xf numFmtId="49" fontId="7" fillId="4" borderId="4" applyNumberFormat="1" applyFont="1" applyFill="1" applyBorder="1" applyAlignment="1" applyProtection="0">
      <alignment horizontal="left" vertical="top" wrapText="1"/>
    </xf>
    <xf numFmtId="49" fontId="10" fillId="9" borderId="4" applyNumberFormat="1" applyFont="1" applyFill="1" applyBorder="1" applyAlignment="1" applyProtection="0">
      <alignment horizontal="center" vertical="center" wrapText="1"/>
    </xf>
    <xf numFmtId="49" fontId="10" fillId="8" borderId="4" applyNumberFormat="1" applyFont="1" applyFill="1" applyBorder="1" applyAlignment="1" applyProtection="0">
      <alignment horizontal="center" vertical="center" wrapText="1"/>
    </xf>
    <xf numFmtId="49" fontId="10" fillId="7" borderId="4" applyNumberFormat="1" applyFont="1" applyFill="1" applyBorder="1" applyAlignment="1" applyProtection="0">
      <alignment horizontal="center" vertical="center" wrapText="1"/>
    </xf>
    <xf numFmtId="49" fontId="10" fillId="10" borderId="4" applyNumberFormat="1" applyFont="1" applyFill="1" applyBorder="1" applyAlignment="1" applyProtection="0">
      <alignment horizontal="center" vertical="center" wrapText="1"/>
    </xf>
    <xf numFmtId="49" fontId="10" fillId="11" borderId="13" applyNumberFormat="1" applyFont="1" applyFill="1" applyBorder="1" applyAlignment="1" applyProtection="0">
      <alignment horizontal="center" vertical="center" wrapText="1"/>
    </xf>
    <xf numFmtId="49" fontId="9" fillId="4" borderId="13" applyNumberFormat="1" applyFont="1" applyFill="1" applyBorder="1" applyAlignment="1" applyProtection="0">
      <alignment horizontal="left" vertical="top" wrapText="1"/>
    </xf>
    <xf numFmtId="2" fontId="0" fillId="4" borderId="13" applyNumberFormat="1" applyFont="1" applyFill="1" applyBorder="1" applyAlignment="1" applyProtection="0">
      <alignment horizontal="center" vertical="center" wrapText="1"/>
    </xf>
    <xf numFmtId="9" fontId="0" fillId="4" borderId="13" applyNumberFormat="1" applyFont="1" applyFill="1" applyBorder="1" applyAlignment="1" applyProtection="0">
      <alignment horizontal="center" vertical="center" wrapText="1"/>
    </xf>
    <xf numFmtId="49" fontId="7" fillId="4" borderId="13" applyNumberFormat="1" applyFont="1" applyFill="1" applyBorder="1" applyAlignment="1" applyProtection="0">
      <alignment horizontal="left" vertical="top" wrapText="1"/>
    </xf>
    <xf numFmtId="49" fontId="11" fillId="6" borderId="14" applyNumberFormat="1" applyFont="1" applyFill="1" applyBorder="1" applyAlignment="1" applyProtection="0">
      <alignment horizontal="center" vertical="center" wrapText="1"/>
    </xf>
    <xf numFmtId="49" fontId="11" fillId="6" borderId="14" applyNumberFormat="1" applyFont="1" applyFill="1" applyBorder="1" applyAlignment="1" applyProtection="0">
      <alignment horizontal="left" vertical="center" wrapText="1"/>
    </xf>
    <xf numFmtId="2" fontId="11" fillId="6" borderId="14" applyNumberFormat="1" applyFont="1" applyFill="1" applyBorder="1" applyAlignment="1" applyProtection="0">
      <alignment horizontal="center" vertical="center" wrapText="1"/>
    </xf>
    <xf numFmtId="9" fontId="11" fillId="6" borderId="14" applyNumberFormat="1" applyFont="1" applyFill="1" applyBorder="1" applyAlignment="1" applyProtection="0">
      <alignment horizontal="center" vertical="center" wrapText="1"/>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bottom"/>
    </xf>
    <xf numFmtId="1" fontId="10" fillId="9" borderId="4" applyNumberFormat="1" applyFont="1" applyFill="1" applyBorder="1" applyAlignment="1" applyProtection="0">
      <alignment horizontal="center" vertical="center" wrapText="1"/>
    </xf>
    <xf numFmtId="49" fontId="9" fillId="9" borderId="4" applyNumberFormat="1" applyFont="1" applyFill="1" applyBorder="1" applyAlignment="1" applyProtection="0">
      <alignment horizontal="left" vertical="center" wrapText="1"/>
    </xf>
    <xf numFmtId="1" fontId="9" fillId="9" borderId="4" applyNumberFormat="1" applyFont="1" applyFill="1" applyBorder="1" applyAlignment="1" applyProtection="0">
      <alignment horizontal="center" vertical="center" wrapText="1"/>
    </xf>
    <xf numFmtId="9" fontId="0" fillId="9" borderId="4" applyNumberFormat="1" applyFont="1" applyFill="1" applyBorder="1" applyAlignment="1" applyProtection="0">
      <alignment horizontal="center" vertical="center" wrapText="1"/>
    </xf>
    <xf numFmtId="0" fontId="0" fillId="4" borderId="5" applyNumberFormat="0" applyFont="1" applyFill="1" applyBorder="1" applyAlignment="1" applyProtection="0">
      <alignment vertical="bottom"/>
    </xf>
    <xf numFmtId="1" fontId="10" fillId="5" borderId="4"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left" vertical="center" wrapText="1"/>
    </xf>
    <xf numFmtId="1" fontId="9" fillId="5" borderId="4" applyNumberFormat="1" applyFont="1" applyFill="1" applyBorder="1" applyAlignment="1" applyProtection="0">
      <alignment horizontal="center" vertical="center" wrapText="1"/>
    </xf>
    <xf numFmtId="9" fontId="0" fillId="5" borderId="4" applyNumberFormat="1" applyFont="1" applyFill="1" applyBorder="1" applyAlignment="1" applyProtection="0">
      <alignment horizontal="center" vertical="center" wrapText="1"/>
    </xf>
    <xf numFmtId="1" fontId="10" fillId="8" borderId="4" applyNumberFormat="1" applyFont="1" applyFill="1" applyBorder="1" applyAlignment="1" applyProtection="0">
      <alignment horizontal="center" vertical="center" wrapText="1"/>
    </xf>
    <xf numFmtId="49" fontId="9" fillId="8" borderId="4" applyNumberFormat="1" applyFont="1" applyFill="1" applyBorder="1" applyAlignment="1" applyProtection="0">
      <alignment horizontal="left" vertical="center" wrapText="1"/>
    </xf>
    <xf numFmtId="1" fontId="9" fillId="8" borderId="4" applyNumberFormat="1" applyFont="1" applyFill="1" applyBorder="1" applyAlignment="1" applyProtection="0">
      <alignment horizontal="center" vertical="center" wrapText="1"/>
    </xf>
    <xf numFmtId="9" fontId="0" fillId="8" borderId="4" applyNumberFormat="1" applyFont="1" applyFill="1" applyBorder="1" applyAlignment="1" applyProtection="0">
      <alignment horizontal="center" vertical="center" wrapText="1"/>
    </xf>
    <xf numFmtId="1" fontId="10" fillId="7" borderId="4" applyNumberFormat="1" applyFont="1" applyFill="1" applyBorder="1" applyAlignment="1" applyProtection="0">
      <alignment horizontal="center" vertical="center" wrapText="1"/>
    </xf>
    <xf numFmtId="49" fontId="9" fillId="7" borderId="4" applyNumberFormat="1" applyFont="1" applyFill="1" applyBorder="1" applyAlignment="1" applyProtection="0">
      <alignment horizontal="left" vertical="center" wrapText="1"/>
    </xf>
    <xf numFmtId="1" fontId="9" fillId="7" borderId="4" applyNumberFormat="1" applyFont="1" applyFill="1" applyBorder="1" applyAlignment="1" applyProtection="0">
      <alignment horizontal="center" vertical="center" wrapText="1"/>
    </xf>
    <xf numFmtId="9" fontId="0" fillId="7" borderId="4" applyNumberFormat="1" applyFont="1" applyFill="1" applyBorder="1" applyAlignment="1" applyProtection="0">
      <alignment horizontal="center" vertical="center" wrapText="1"/>
    </xf>
  </cellXfs>
  <cellStyles count="1">
    <cellStyle name="Normal" xfId="0" builtinId="0"/>
  </cellStyles>
  <dxfs count="8">
    <dxf>
      <fill>
        <patternFill patternType="solid">
          <fgColor indexed="22"/>
          <bgColor indexed="19"/>
        </patternFill>
      </fill>
    </dxf>
    <dxf>
      <fill>
        <patternFill patternType="solid">
          <fgColor indexed="22"/>
          <bgColor indexed="20"/>
        </patternFill>
      </fill>
    </dxf>
    <dxf>
      <fill>
        <patternFill patternType="solid">
          <fgColor indexed="22"/>
          <bgColor indexed="18"/>
        </patternFill>
      </fill>
    </dxf>
    <dxf>
      <fill>
        <patternFill patternType="solid">
          <fgColor indexed="22"/>
          <bgColor indexed="21"/>
        </patternFill>
      </fill>
    </dxf>
    <dxf>
      <fill>
        <patternFill patternType="solid">
          <fgColor indexed="22"/>
          <bgColor indexed="19"/>
        </patternFill>
      </fill>
    </dxf>
    <dxf>
      <fill>
        <patternFill patternType="solid">
          <fgColor indexed="22"/>
          <bgColor indexed="20"/>
        </patternFill>
      </fill>
    </dxf>
    <dxf>
      <fill>
        <patternFill patternType="solid">
          <fgColor indexed="22"/>
          <bgColor indexed="18"/>
        </patternFill>
      </fill>
    </dxf>
    <dxf>
      <fill>
        <patternFill patternType="solid">
          <fgColor indexed="22"/>
          <bgColor indexed="21"/>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f1b2d"/>
      <rgbColor rgb="ff5b6573"/>
      <rgbColor rgb="ff1f6fb2"/>
      <rgbColor rgb="ffd9d4c7"/>
      <rgbColor rgb="ffebf2f9"/>
      <rgbColor rgb="fffbe9e4"/>
      <rgbColor rgb="fffff4d6"/>
      <rgbColor rgb="ffeaf3ec"/>
      <rgbColor rgb="00000000"/>
      <rgbColor rgb="fff3e8f4"/>
      <rgbColor rgb="ffe8f0e8"/>
      <rgbColor rgb="ffd6e4f0"/>
      <rgbColor rgb="ffff4c4c"/>
      <rgbColor rgb="ffd5f0c1"/>
      <rgbColor rgb="ffffe0e0"/>
      <rgbColor rgb="ffffd7b5"/>
      <rgbColor rgb="fffdebd0"/>
      <rgbColor rgb="fffff3cd"/>
      <rgbColor rgb="ffff9800"/>
      <rgbColor rgb="ffe2efda"/>
      <rgbColor rgb="ffffb3b3"/>
      <rgbColor rgb="ffede7f6"/>
      <rgbColor rgb="ffffc107"/>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xml version="1.0" encoding="UTF-8"?>
<Relationships xmlns="http://schemas.openxmlformats.org/package/2006/relationships"><Relationship Id="rId1" Type="http://schemas.openxmlformats.org/officeDocument/2006/relationships/hyperlink" Target="http://bill.com" TargetMode="External"/><Relationship Id="rId2" Type="http://schemas.openxmlformats.org/officeDocument/2006/relationships/hyperlink" Target="http://bill.com" TargetMode="External"/><Relationship Id="rId3" Type="http://schemas.openxmlformats.org/officeDocument/2006/relationships/hyperlink" Target="http://bill.com"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29</v>
      </c>
      <c r="C11" s="3"/>
      <c r="D11" s="3"/>
    </row>
    <row r="12">
      <c r="B12" s="4"/>
      <c r="C12" t="s" s="4">
        <v>5</v>
      </c>
      <c r="D12" t="s" s="5">
        <v>29</v>
      </c>
    </row>
    <row r="13">
      <c r="B13" t="s" s="3">
        <v>54</v>
      </c>
      <c r="C13" s="3"/>
      <c r="D13" s="3"/>
    </row>
    <row r="14">
      <c r="B14" s="4"/>
      <c r="C14" t="s" s="4">
        <v>5</v>
      </c>
      <c r="D14" t="s" s="5">
        <v>54</v>
      </c>
    </row>
    <row r="15">
      <c r="B15" t="s" s="3">
        <v>441</v>
      </c>
      <c r="C15" s="3"/>
      <c r="D15" s="3"/>
    </row>
    <row r="16">
      <c r="B16" s="4"/>
      <c r="C16" t="s" s="4">
        <v>5</v>
      </c>
      <c r="D16" t="s" s="5">
        <v>441</v>
      </c>
    </row>
    <row r="17">
      <c r="B17" t="s" s="3">
        <v>525</v>
      </c>
      <c r="C17" s="3"/>
      <c r="D17" s="3"/>
    </row>
    <row r="18">
      <c r="B18" s="4"/>
      <c r="C18" t="s" s="4">
        <v>5</v>
      </c>
      <c r="D18" t="s" s="5">
        <v>525</v>
      </c>
    </row>
  </sheetData>
  <mergeCells count="1">
    <mergeCell ref="B3:D3"/>
  </mergeCells>
  <hyperlinks>
    <hyperlink ref="D10" location="'README'!R1C1" tooltip="" display="README"/>
    <hyperlink ref="D12" location="'Rubric'!R1C1" tooltip="" display="Rubric"/>
    <hyperlink ref="D14" location="'CSF Scoring'!R1C1" tooltip="" display="CSF Scoring"/>
    <hyperlink ref="D16" location="'Findings'!R1C1" tooltip="" display="Findings"/>
    <hyperlink ref="D18" location="'Dashboard'!R1C1" tooltip="" display="Dashboard"/>
  </hyperlinks>
</worksheet>
</file>

<file path=xl/worksheets/sheet2.xml><?xml version="1.0" encoding="utf-8"?>
<worksheet xmlns:r="http://schemas.openxmlformats.org/officeDocument/2006/relationships" xmlns="http://schemas.openxmlformats.org/spreadsheetml/2006/main">
  <dimension ref="A1:E27"/>
  <sheetViews>
    <sheetView workbookViewId="0" showGridLines="0" defaultGridColor="1"/>
  </sheetViews>
  <sheetFormatPr defaultColWidth="8.66667" defaultRowHeight="15" customHeight="1" outlineLevelRow="0" outlineLevelCol="0"/>
  <cols>
    <col min="1" max="1" width="4" style="6" customWidth="1"/>
    <col min="2" max="2" width="95" style="6" customWidth="1"/>
    <col min="3" max="5" width="8.67188" style="6" customWidth="1"/>
    <col min="6" max="16384" width="8.67188" style="6" customWidth="1"/>
  </cols>
  <sheetData>
    <row r="1" ht="13.55" customHeight="1">
      <c r="A1" s="7"/>
      <c r="B1" s="7"/>
      <c r="C1" s="8"/>
      <c r="D1" s="8"/>
      <c r="E1" s="8"/>
    </row>
    <row r="2" ht="30" customHeight="1">
      <c r="A2" s="7"/>
      <c r="B2" t="s" s="9">
        <v>6</v>
      </c>
      <c r="C2" s="8"/>
      <c r="D2" s="8"/>
      <c r="E2" s="8"/>
    </row>
    <row r="3" ht="13.55" customHeight="1">
      <c r="A3" s="7"/>
      <c r="B3" t="s" s="10">
        <v>7</v>
      </c>
      <c r="C3" s="8"/>
      <c r="D3" s="8"/>
      <c r="E3" s="8"/>
    </row>
    <row r="4" ht="13.55" customHeight="1">
      <c r="A4" s="7"/>
      <c r="B4" s="7"/>
      <c r="C4" s="8"/>
      <c r="D4" s="8"/>
      <c r="E4" s="8"/>
    </row>
    <row r="5" ht="17.55" customHeight="1">
      <c r="A5" s="7"/>
      <c r="B5" t="s" s="11">
        <v>8</v>
      </c>
      <c r="C5" s="8"/>
      <c r="D5" s="8"/>
      <c r="E5" s="8"/>
    </row>
    <row r="6" ht="54.75" customHeight="1">
      <c r="A6" s="7"/>
      <c r="B6" t="s" s="12">
        <v>9</v>
      </c>
      <c r="C6" s="8"/>
      <c r="D6" s="8"/>
      <c r="E6" s="8"/>
    </row>
    <row r="7" ht="13.55" customHeight="1">
      <c r="A7" s="7"/>
      <c r="B7" s="7"/>
      <c r="C7" s="8"/>
      <c r="D7" s="8"/>
      <c r="E7" s="8"/>
    </row>
    <row r="8" ht="17.55" customHeight="1">
      <c r="A8" s="7"/>
      <c r="B8" t="s" s="13">
        <v>10</v>
      </c>
      <c r="C8" s="8"/>
      <c r="D8" s="8"/>
      <c r="E8" s="8"/>
    </row>
    <row r="9" ht="14.6" customHeight="1">
      <c r="A9" s="14"/>
      <c r="B9" t="s" s="15">
        <v>11</v>
      </c>
      <c r="C9" s="16"/>
      <c r="D9" s="8"/>
      <c r="E9" s="8"/>
    </row>
    <row r="10" ht="21.75" customHeight="1">
      <c r="A10" s="14"/>
      <c r="B10" t="s" s="17">
        <v>12</v>
      </c>
      <c r="C10" s="16"/>
      <c r="D10" s="8"/>
      <c r="E10" s="8"/>
    </row>
    <row r="11" ht="14.6" customHeight="1">
      <c r="A11" s="14"/>
      <c r="B11" t="s" s="15">
        <v>13</v>
      </c>
      <c r="C11" s="16"/>
      <c r="D11" s="8"/>
      <c r="E11" s="8"/>
    </row>
    <row r="12" ht="21.75" customHeight="1">
      <c r="A12" s="14"/>
      <c r="B12" t="s" s="17">
        <v>14</v>
      </c>
      <c r="C12" s="16"/>
      <c r="D12" s="8"/>
      <c r="E12" s="8"/>
    </row>
    <row r="13" ht="14.6" customHeight="1">
      <c r="A13" s="14"/>
      <c r="B13" t="s" s="15">
        <v>15</v>
      </c>
      <c r="C13" s="16"/>
      <c r="D13" s="8"/>
      <c r="E13" s="8"/>
    </row>
    <row r="14" ht="21.75" customHeight="1">
      <c r="A14" s="14"/>
      <c r="B14" t="s" s="17">
        <v>16</v>
      </c>
      <c r="C14" s="16"/>
      <c r="D14" s="8"/>
      <c r="E14" s="8"/>
    </row>
    <row r="15" ht="14.6" customHeight="1">
      <c r="A15" s="14"/>
      <c r="B15" t="s" s="15">
        <v>17</v>
      </c>
      <c r="C15" s="16"/>
      <c r="D15" s="8"/>
      <c r="E15" s="8"/>
    </row>
    <row r="16" ht="21.75" customHeight="1">
      <c r="A16" s="14"/>
      <c r="B16" t="s" s="17">
        <v>18</v>
      </c>
      <c r="C16" s="16"/>
      <c r="D16" s="8"/>
      <c r="E16" s="8"/>
    </row>
    <row r="17" ht="14.6" customHeight="1">
      <c r="A17" s="14"/>
      <c r="B17" t="s" s="15">
        <v>19</v>
      </c>
      <c r="C17" s="16"/>
      <c r="D17" s="8"/>
      <c r="E17" s="8"/>
    </row>
    <row r="18" ht="21.75" customHeight="1">
      <c r="A18" s="14"/>
      <c r="B18" t="s" s="17">
        <v>20</v>
      </c>
      <c r="C18" s="16"/>
      <c r="D18" s="8"/>
      <c r="E18" s="8"/>
    </row>
    <row r="19" ht="14.6" customHeight="1">
      <c r="A19" s="14"/>
      <c r="B19" t="s" s="15">
        <v>21</v>
      </c>
      <c r="C19" s="16"/>
      <c r="D19" s="8"/>
      <c r="E19" s="8"/>
    </row>
    <row r="20" ht="21.75" customHeight="1">
      <c r="A20" s="14"/>
      <c r="B20" t="s" s="17">
        <v>22</v>
      </c>
      <c r="C20" s="16"/>
      <c r="D20" s="8"/>
      <c r="E20" s="8"/>
    </row>
    <row r="21" ht="14.6" customHeight="1">
      <c r="A21" s="14"/>
      <c r="B21" t="s" s="15">
        <v>23</v>
      </c>
      <c r="C21" s="16"/>
      <c r="D21" s="8"/>
      <c r="E21" s="8"/>
    </row>
    <row r="22" ht="21.75" customHeight="1">
      <c r="A22" s="14"/>
      <c r="B22" t="s" s="17">
        <v>24</v>
      </c>
      <c r="C22" s="16"/>
      <c r="D22" s="8"/>
      <c r="E22" s="8"/>
    </row>
    <row r="23" ht="14.6" customHeight="1">
      <c r="A23" s="14"/>
      <c r="B23" t="s" s="15">
        <v>25</v>
      </c>
      <c r="C23" s="16"/>
      <c r="D23" s="8"/>
      <c r="E23" s="8"/>
    </row>
    <row r="24" ht="21.75" customHeight="1">
      <c r="A24" s="14"/>
      <c r="B24" t="s" s="17">
        <v>26</v>
      </c>
      <c r="C24" s="16"/>
      <c r="D24" s="8"/>
      <c r="E24" s="8"/>
    </row>
    <row r="25" ht="13.55" customHeight="1">
      <c r="A25" s="7"/>
      <c r="B25" s="18"/>
      <c r="C25" s="8"/>
      <c r="D25" s="8"/>
      <c r="E25" s="8"/>
    </row>
    <row r="26" ht="17.55" customHeight="1">
      <c r="A26" s="7"/>
      <c r="B26" t="s" s="11">
        <v>27</v>
      </c>
      <c r="C26" s="8"/>
      <c r="D26" s="8"/>
      <c r="E26" s="8"/>
    </row>
    <row r="27" ht="49.5" customHeight="1">
      <c r="A27" s="7"/>
      <c r="B27" t="s" s="19">
        <v>28</v>
      </c>
      <c r="C27" s="8"/>
      <c r="D27" s="8"/>
      <c r="E27" s="8"/>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7"/>
  <sheetViews>
    <sheetView workbookViewId="0" showGridLines="0" defaultGridColor="1"/>
  </sheetViews>
  <sheetFormatPr defaultColWidth="8.66667" defaultRowHeight="15" customHeight="1" outlineLevelRow="0" outlineLevelCol="0"/>
  <cols>
    <col min="1" max="1" width="4" style="20" customWidth="1"/>
    <col min="2" max="2" width="8" style="20" customWidth="1"/>
    <col min="3" max="3" width="18" style="20" customWidth="1"/>
    <col min="4" max="4" width="45" style="20" customWidth="1"/>
    <col min="5" max="5" width="35" style="20" customWidth="1"/>
    <col min="6" max="16384" width="8.67188" style="20" customWidth="1"/>
  </cols>
  <sheetData>
    <row r="1" ht="13.55" customHeight="1">
      <c r="A1" s="7"/>
      <c r="B1" s="7"/>
      <c r="C1" s="7"/>
      <c r="D1" s="7"/>
      <c r="E1" s="7"/>
    </row>
    <row r="2" ht="23.4" customHeight="1">
      <c r="A2" s="7"/>
      <c r="B2" t="s" s="9">
        <v>30</v>
      </c>
      <c r="C2" s="21"/>
      <c r="D2" s="21"/>
      <c r="E2" s="21"/>
    </row>
    <row r="3" ht="13.55" customHeight="1">
      <c r="A3" s="7"/>
      <c r="B3" s="22"/>
      <c r="C3" s="22"/>
      <c r="D3" s="22"/>
      <c r="E3" s="22"/>
    </row>
    <row r="4" ht="21.75" customHeight="1">
      <c r="A4" s="14"/>
      <c r="B4" t="s" s="23">
        <v>31</v>
      </c>
      <c r="C4" t="s" s="23">
        <v>32</v>
      </c>
      <c r="D4" t="s" s="23">
        <v>33</v>
      </c>
      <c r="E4" t="s" s="23">
        <v>34</v>
      </c>
    </row>
    <row r="5" ht="60" customHeight="1">
      <c r="A5" s="14"/>
      <c r="B5" s="24">
        <v>1</v>
      </c>
      <c r="C5" t="s" s="25">
        <v>35</v>
      </c>
      <c r="D5" t="s" s="26">
        <v>36</v>
      </c>
      <c r="E5" t="s" s="26">
        <v>37</v>
      </c>
    </row>
    <row r="6" ht="60" customHeight="1">
      <c r="A6" s="14"/>
      <c r="B6" s="27">
        <v>2</v>
      </c>
      <c r="C6" t="s" s="28">
        <v>38</v>
      </c>
      <c r="D6" t="s" s="29">
        <v>39</v>
      </c>
      <c r="E6" t="s" s="29">
        <v>40</v>
      </c>
    </row>
    <row r="7" ht="60" customHeight="1">
      <c r="A7" s="14"/>
      <c r="B7" s="30">
        <v>3</v>
      </c>
      <c r="C7" t="s" s="15">
        <v>41</v>
      </c>
      <c r="D7" t="s" s="31">
        <v>42</v>
      </c>
      <c r="E7" t="s" s="31">
        <v>43</v>
      </c>
    </row>
    <row r="8" ht="60" customHeight="1">
      <c r="A8" s="14"/>
      <c r="B8" s="32">
        <v>4</v>
      </c>
      <c r="C8" t="s" s="33">
        <v>44</v>
      </c>
      <c r="D8" t="s" s="34">
        <v>45</v>
      </c>
      <c r="E8" t="s" s="34">
        <v>46</v>
      </c>
    </row>
    <row r="9" ht="13.55" customHeight="1">
      <c r="A9" s="7"/>
      <c r="B9" s="18"/>
      <c r="C9" s="18"/>
      <c r="D9" s="18"/>
      <c r="E9" s="18"/>
    </row>
    <row r="10" ht="13.55" customHeight="1">
      <c r="A10" s="7"/>
      <c r="B10" s="7"/>
      <c r="C10" s="7"/>
      <c r="D10" s="7"/>
      <c r="E10" s="7"/>
    </row>
    <row r="11" ht="17.55" customHeight="1">
      <c r="A11" s="7"/>
      <c r="B11" t="s" s="11">
        <v>47</v>
      </c>
      <c r="C11" s="35"/>
      <c r="D11" s="35"/>
      <c r="E11" s="35"/>
    </row>
    <row r="12" ht="13.65" customHeight="1">
      <c r="A12" s="7"/>
      <c r="B12" t="s" s="36">
        <v>48</v>
      </c>
      <c r="C12" s="37"/>
      <c r="D12" s="37"/>
      <c r="E12" s="37"/>
    </row>
    <row r="13" ht="13.65" customHeight="1">
      <c r="A13" s="7"/>
      <c r="B13" t="s" s="36">
        <v>49</v>
      </c>
      <c r="C13" s="37"/>
      <c r="D13" s="37"/>
      <c r="E13" s="37"/>
    </row>
    <row r="14" ht="13.65" customHeight="1">
      <c r="A14" s="7"/>
      <c r="B14" t="s" s="36">
        <v>50</v>
      </c>
      <c r="C14" s="37"/>
      <c r="D14" s="37"/>
      <c r="E14" s="37"/>
    </row>
    <row r="15" ht="13.65" customHeight="1">
      <c r="A15" s="7"/>
      <c r="B15" t="s" s="36">
        <v>51</v>
      </c>
      <c r="C15" s="37"/>
      <c r="D15" s="37"/>
      <c r="E15" s="37"/>
    </row>
    <row r="16" ht="13.65" customHeight="1">
      <c r="A16" s="7"/>
      <c r="B16" t="s" s="36">
        <v>52</v>
      </c>
      <c r="C16" s="37"/>
      <c r="D16" s="37"/>
      <c r="E16" s="37"/>
    </row>
    <row r="17" ht="13.65" customHeight="1">
      <c r="A17" s="7"/>
      <c r="B17" t="s" s="36">
        <v>53</v>
      </c>
      <c r="C17" s="37"/>
      <c r="D17" s="37"/>
      <c r="E17" s="37"/>
    </row>
  </sheetData>
  <mergeCells count="8">
    <mergeCell ref="B2:E2"/>
    <mergeCell ref="B11:E11"/>
    <mergeCell ref="B12:E12"/>
    <mergeCell ref="B13:E13"/>
    <mergeCell ref="B14:E14"/>
    <mergeCell ref="B15:E15"/>
    <mergeCell ref="B16:E16"/>
    <mergeCell ref="B17:E17"/>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L107"/>
  <sheetViews>
    <sheetView workbookViewId="0" showGridLines="0" defaultGridColor="1"/>
  </sheetViews>
  <sheetFormatPr defaultColWidth="8.66667" defaultRowHeight="15" customHeight="1" outlineLevelRow="0" outlineLevelCol="0"/>
  <cols>
    <col min="1" max="1" width="11" style="38" customWidth="1"/>
    <col min="2" max="2" width="7" style="38" customWidth="1"/>
    <col min="3" max="3" width="30" style="38" customWidth="1"/>
    <col min="4" max="4" width="9" style="38" customWidth="1"/>
    <col min="5" max="5" width="14" style="38" customWidth="1"/>
    <col min="6" max="6" width="60" style="38" customWidth="1"/>
    <col min="7" max="8" width="11" style="38" customWidth="1"/>
    <col min="9" max="9" width="7" style="38" customWidth="1"/>
    <col min="10" max="10" width="50" style="38" customWidth="1"/>
    <col min="11" max="11" width="11" style="38" customWidth="1"/>
    <col min="12" max="12" width="13" style="38" customWidth="1"/>
    <col min="13" max="16384" width="8.67188" style="38" customWidth="1"/>
  </cols>
  <sheetData>
    <row r="1" ht="30" customHeight="1">
      <c r="A1" t="s" s="39">
        <v>55</v>
      </c>
      <c r="B1" t="s" s="39">
        <v>56</v>
      </c>
      <c r="C1" t="s" s="39">
        <v>57</v>
      </c>
      <c r="D1" t="s" s="39">
        <v>58</v>
      </c>
      <c r="E1" t="s" s="39">
        <v>59</v>
      </c>
      <c r="F1" t="s" s="39">
        <v>60</v>
      </c>
      <c r="G1" t="s" s="39">
        <v>61</v>
      </c>
      <c r="H1" t="s" s="39">
        <v>62</v>
      </c>
      <c r="I1" t="s" s="39">
        <v>63</v>
      </c>
      <c r="J1" t="s" s="39">
        <v>64</v>
      </c>
      <c r="K1" t="s" s="39">
        <v>65</v>
      </c>
      <c r="L1" t="s" s="39">
        <v>66</v>
      </c>
    </row>
    <row r="2" ht="36" customHeight="1">
      <c r="A2" t="s" s="40">
        <v>67</v>
      </c>
      <c r="B2" t="s" s="40">
        <v>68</v>
      </c>
      <c r="C2" t="s" s="31">
        <v>69</v>
      </c>
      <c r="D2" t="s" s="40">
        <v>70</v>
      </c>
      <c r="E2" t="s" s="40">
        <v>71</v>
      </c>
      <c r="F2" t="s" s="17">
        <v>72</v>
      </c>
      <c r="G2" s="41">
        <v>2</v>
      </c>
      <c r="H2" s="41">
        <v>3</v>
      </c>
      <c r="I2" s="42" cm="1">
        <f t="array" ref="I2">IF(AND(ISNUMBER(G2),ISNUMBER(H2)),H2-G2,"")</f>
        <v>1</v>
      </c>
      <c r="J2" t="s" s="43">
        <v>73</v>
      </c>
      <c r="K2" s="42"/>
      <c r="L2" s="44"/>
    </row>
    <row r="3" ht="36" customHeight="1">
      <c r="A3" t="s" s="40">
        <v>67</v>
      </c>
      <c r="B3" t="s" s="40">
        <v>68</v>
      </c>
      <c r="C3" t="s" s="31">
        <v>69</v>
      </c>
      <c r="D3" t="s" s="40">
        <v>70</v>
      </c>
      <c r="E3" t="s" s="40">
        <v>74</v>
      </c>
      <c r="F3" t="s" s="17">
        <v>75</v>
      </c>
      <c r="G3" s="41">
        <v>2</v>
      </c>
      <c r="H3" s="41">
        <v>3</v>
      </c>
      <c r="I3" s="42" cm="1">
        <f t="array" ref="I3">IF(AND(ISNUMBER(G3),ISNUMBER(H3)),H3-G3,"")</f>
        <v>1</v>
      </c>
      <c r="J3" t="s" s="43">
        <v>76</v>
      </c>
      <c r="K3" s="42"/>
      <c r="L3" s="44"/>
    </row>
    <row r="4" ht="36" customHeight="1">
      <c r="A4" t="s" s="40">
        <v>67</v>
      </c>
      <c r="B4" t="s" s="40">
        <v>68</v>
      </c>
      <c r="C4" t="s" s="31">
        <v>69</v>
      </c>
      <c r="D4" t="s" s="40">
        <v>70</v>
      </c>
      <c r="E4" t="s" s="40">
        <v>77</v>
      </c>
      <c r="F4" t="s" s="17">
        <v>78</v>
      </c>
      <c r="G4" s="41">
        <v>3</v>
      </c>
      <c r="H4" s="41">
        <v>3</v>
      </c>
      <c r="I4" s="42" cm="1">
        <f t="array" ref="I4">IF(AND(ISNUMBER(G4),ISNUMBER(H4)),H4-G4,"")</f>
        <v>0</v>
      </c>
      <c r="J4" t="s" s="43">
        <v>79</v>
      </c>
      <c r="K4" s="42"/>
      <c r="L4" s="44"/>
    </row>
    <row r="5" ht="36" customHeight="1">
      <c r="A5" t="s" s="40">
        <v>67</v>
      </c>
      <c r="B5" t="s" s="40">
        <v>68</v>
      </c>
      <c r="C5" t="s" s="31">
        <v>69</v>
      </c>
      <c r="D5" t="s" s="40">
        <v>70</v>
      </c>
      <c r="E5" t="s" s="40">
        <v>80</v>
      </c>
      <c r="F5" t="s" s="17">
        <v>81</v>
      </c>
      <c r="G5" s="41">
        <v>3</v>
      </c>
      <c r="H5" s="41">
        <v>3</v>
      </c>
      <c r="I5" s="42" cm="1">
        <f t="array" ref="I5">IF(AND(ISNUMBER(G5),ISNUMBER(H5)),H5-G5,"")</f>
        <v>0</v>
      </c>
      <c r="J5" t="s" s="43">
        <v>82</v>
      </c>
      <c r="K5" s="42"/>
      <c r="L5" s="44"/>
    </row>
    <row r="6" ht="36" customHeight="1">
      <c r="A6" t="s" s="40">
        <v>67</v>
      </c>
      <c r="B6" t="s" s="40">
        <v>68</v>
      </c>
      <c r="C6" t="s" s="31">
        <v>69</v>
      </c>
      <c r="D6" t="s" s="40">
        <v>70</v>
      </c>
      <c r="E6" t="s" s="40">
        <v>83</v>
      </c>
      <c r="F6" t="s" s="17">
        <v>84</v>
      </c>
      <c r="G6" s="41">
        <v>2</v>
      </c>
      <c r="H6" s="41">
        <v>3</v>
      </c>
      <c r="I6" s="42" cm="1">
        <f t="array" ref="I6">IF(AND(ISNUMBER(G6),ISNUMBER(H6)),H6-G6,"")</f>
        <v>1</v>
      </c>
      <c r="J6" t="s" s="45">
        <v>85</v>
      </c>
      <c r="K6" s="42"/>
      <c r="L6" s="44"/>
    </row>
    <row r="7" ht="36" customHeight="1">
      <c r="A7" t="s" s="40">
        <v>67</v>
      </c>
      <c r="B7" t="s" s="40">
        <v>68</v>
      </c>
      <c r="C7" t="s" s="31">
        <v>86</v>
      </c>
      <c r="D7" t="s" s="40">
        <v>87</v>
      </c>
      <c r="E7" t="s" s="40">
        <v>88</v>
      </c>
      <c r="F7" t="s" s="17">
        <v>89</v>
      </c>
      <c r="G7" s="41">
        <v>2</v>
      </c>
      <c r="H7" s="41">
        <v>3</v>
      </c>
      <c r="I7" s="42" cm="1">
        <f t="array" ref="I7">IF(AND(ISNUMBER(G7),ISNUMBER(H7)),H7-G7,"")</f>
        <v>1</v>
      </c>
      <c r="J7" t="s" s="43">
        <v>90</v>
      </c>
      <c r="K7" s="42"/>
      <c r="L7" s="44"/>
    </row>
    <row r="8" ht="36" customHeight="1">
      <c r="A8" t="s" s="40">
        <v>67</v>
      </c>
      <c r="B8" t="s" s="40">
        <v>68</v>
      </c>
      <c r="C8" t="s" s="31">
        <v>86</v>
      </c>
      <c r="D8" t="s" s="40">
        <v>87</v>
      </c>
      <c r="E8" t="s" s="40">
        <v>91</v>
      </c>
      <c r="F8" t="s" s="17">
        <v>92</v>
      </c>
      <c r="G8" s="41">
        <v>1</v>
      </c>
      <c r="H8" s="41">
        <v>3</v>
      </c>
      <c r="I8" s="42" cm="1">
        <f t="array" ref="I8">IF(AND(ISNUMBER(G8),ISNUMBER(H8)),H8-G8,"")</f>
        <v>2</v>
      </c>
      <c r="J8" t="s" s="43">
        <v>93</v>
      </c>
      <c r="K8" s="42"/>
      <c r="L8" s="44"/>
    </row>
    <row r="9" ht="36" customHeight="1">
      <c r="A9" t="s" s="40">
        <v>67</v>
      </c>
      <c r="B9" t="s" s="40">
        <v>68</v>
      </c>
      <c r="C9" t="s" s="31">
        <v>86</v>
      </c>
      <c r="D9" t="s" s="40">
        <v>87</v>
      </c>
      <c r="E9" t="s" s="40">
        <v>94</v>
      </c>
      <c r="F9" t="s" s="17">
        <v>95</v>
      </c>
      <c r="G9" s="41">
        <v>1</v>
      </c>
      <c r="H9" s="41">
        <v>3</v>
      </c>
      <c r="I9" s="42" cm="1">
        <f t="array" ref="I9">IF(AND(ISNUMBER(G9),ISNUMBER(H9)),H9-G9,"")</f>
        <v>2</v>
      </c>
      <c r="J9" t="s" s="43">
        <v>96</v>
      </c>
      <c r="K9" s="42"/>
      <c r="L9" s="44"/>
    </row>
    <row r="10" ht="36" customHeight="1">
      <c r="A10" t="s" s="40">
        <v>67</v>
      </c>
      <c r="B10" t="s" s="40">
        <v>68</v>
      </c>
      <c r="C10" t="s" s="31">
        <v>86</v>
      </c>
      <c r="D10" t="s" s="40">
        <v>87</v>
      </c>
      <c r="E10" t="s" s="40">
        <v>97</v>
      </c>
      <c r="F10" t="s" s="17">
        <v>98</v>
      </c>
      <c r="G10" s="41">
        <v>1</v>
      </c>
      <c r="H10" s="41">
        <v>3</v>
      </c>
      <c r="I10" s="42" cm="1">
        <f t="array" ref="I10">IF(AND(ISNUMBER(G10),ISNUMBER(H10)),H10-G10,"")</f>
        <v>2</v>
      </c>
      <c r="J10" t="s" s="43">
        <v>99</v>
      </c>
      <c r="K10" s="42"/>
      <c r="L10" s="44"/>
    </row>
    <row r="11" ht="36" customHeight="1">
      <c r="A11" t="s" s="40">
        <v>67</v>
      </c>
      <c r="B11" t="s" s="40">
        <v>68</v>
      </c>
      <c r="C11" t="s" s="31">
        <v>86</v>
      </c>
      <c r="D11" t="s" s="40">
        <v>87</v>
      </c>
      <c r="E11" t="s" s="40">
        <v>100</v>
      </c>
      <c r="F11" t="s" s="17">
        <v>101</v>
      </c>
      <c r="G11" s="41">
        <v>2</v>
      </c>
      <c r="H11" s="41">
        <v>3</v>
      </c>
      <c r="I11" s="42" cm="1">
        <f t="array" ref="I11">IF(AND(ISNUMBER(G11),ISNUMBER(H11)),H11-G11,"")</f>
        <v>1</v>
      </c>
      <c r="J11" t="s" s="43">
        <v>102</v>
      </c>
      <c r="K11" s="42"/>
      <c r="L11" s="44"/>
    </row>
    <row r="12" ht="36" customHeight="1">
      <c r="A12" t="s" s="40">
        <v>67</v>
      </c>
      <c r="B12" t="s" s="40">
        <v>68</v>
      </c>
      <c r="C12" t="s" s="31">
        <v>86</v>
      </c>
      <c r="D12" t="s" s="40">
        <v>87</v>
      </c>
      <c r="E12" t="s" s="40">
        <v>103</v>
      </c>
      <c r="F12" t="s" s="17">
        <v>104</v>
      </c>
      <c r="G12" s="41">
        <v>1</v>
      </c>
      <c r="H12" s="41">
        <v>3</v>
      </c>
      <c r="I12" s="42" cm="1">
        <f t="array" ref="I12">IF(AND(ISNUMBER(G12),ISNUMBER(H12)),H12-G12,"")</f>
        <v>2</v>
      </c>
      <c r="J12" t="s" s="43">
        <v>105</v>
      </c>
      <c r="K12" s="42"/>
      <c r="L12" s="44"/>
    </row>
    <row r="13" ht="36" customHeight="1">
      <c r="A13" t="s" s="40">
        <v>67</v>
      </c>
      <c r="B13" t="s" s="40">
        <v>68</v>
      </c>
      <c r="C13" t="s" s="31">
        <v>86</v>
      </c>
      <c r="D13" t="s" s="40">
        <v>87</v>
      </c>
      <c r="E13" t="s" s="40">
        <v>106</v>
      </c>
      <c r="F13" t="s" s="17">
        <v>107</v>
      </c>
      <c r="G13" s="41">
        <v>1</v>
      </c>
      <c r="H13" s="41">
        <v>2</v>
      </c>
      <c r="I13" s="42" cm="1">
        <f t="array" ref="I13">IF(AND(ISNUMBER(G13),ISNUMBER(H13)),H13-G13,"")</f>
        <v>1</v>
      </c>
      <c r="J13" t="s" s="43">
        <v>108</v>
      </c>
      <c r="K13" s="42"/>
      <c r="L13" s="44"/>
    </row>
    <row r="14" ht="36" customHeight="1">
      <c r="A14" t="s" s="40">
        <v>67</v>
      </c>
      <c r="B14" t="s" s="40">
        <v>68</v>
      </c>
      <c r="C14" t="s" s="31">
        <v>109</v>
      </c>
      <c r="D14" t="s" s="40">
        <v>110</v>
      </c>
      <c r="E14" t="s" s="40">
        <v>111</v>
      </c>
      <c r="F14" t="s" s="17">
        <v>112</v>
      </c>
      <c r="G14" s="41">
        <v>2</v>
      </c>
      <c r="H14" s="41">
        <v>3</v>
      </c>
      <c r="I14" s="42" cm="1">
        <f t="array" ref="I14">IF(AND(ISNUMBER(G14),ISNUMBER(H14)),H14-G14,"")</f>
        <v>1</v>
      </c>
      <c r="J14" t="s" s="43">
        <v>113</v>
      </c>
      <c r="K14" s="42"/>
      <c r="L14" s="44"/>
    </row>
    <row r="15" ht="36" customHeight="1">
      <c r="A15" t="s" s="40">
        <v>67</v>
      </c>
      <c r="B15" t="s" s="40">
        <v>68</v>
      </c>
      <c r="C15" t="s" s="31">
        <v>109</v>
      </c>
      <c r="D15" t="s" s="40">
        <v>110</v>
      </c>
      <c r="E15" t="s" s="40">
        <v>114</v>
      </c>
      <c r="F15" t="s" s="17">
        <v>115</v>
      </c>
      <c r="G15" s="41">
        <v>2</v>
      </c>
      <c r="H15" s="41">
        <v>3</v>
      </c>
      <c r="I15" s="42" cm="1">
        <f t="array" ref="I15">IF(AND(ISNUMBER(G15),ISNUMBER(H15)),H15-G15,"")</f>
        <v>1</v>
      </c>
      <c r="J15" t="s" s="43">
        <v>116</v>
      </c>
      <c r="K15" s="42"/>
      <c r="L15" s="44"/>
    </row>
    <row r="16" ht="36" customHeight="1">
      <c r="A16" t="s" s="40">
        <v>67</v>
      </c>
      <c r="B16" t="s" s="40">
        <v>68</v>
      </c>
      <c r="C16" t="s" s="31">
        <v>109</v>
      </c>
      <c r="D16" t="s" s="40">
        <v>110</v>
      </c>
      <c r="E16" t="s" s="40">
        <v>117</v>
      </c>
      <c r="F16" t="s" s="17">
        <v>118</v>
      </c>
      <c r="G16" s="41">
        <v>2</v>
      </c>
      <c r="H16" s="41">
        <v>3</v>
      </c>
      <c r="I16" s="42" cm="1">
        <f t="array" ref="I16">IF(AND(ISNUMBER(G16),ISNUMBER(H16)),H16-G16,"")</f>
        <v>1</v>
      </c>
      <c r="J16" t="s" s="43">
        <v>119</v>
      </c>
      <c r="K16" s="42"/>
      <c r="L16" s="44"/>
    </row>
    <row r="17" ht="36" customHeight="1">
      <c r="A17" t="s" s="40">
        <v>67</v>
      </c>
      <c r="B17" t="s" s="40">
        <v>68</v>
      </c>
      <c r="C17" t="s" s="31">
        <v>109</v>
      </c>
      <c r="D17" t="s" s="40">
        <v>110</v>
      </c>
      <c r="E17" t="s" s="40">
        <v>120</v>
      </c>
      <c r="F17" t="s" s="17">
        <v>121</v>
      </c>
      <c r="G17" s="41">
        <v>2</v>
      </c>
      <c r="H17" s="41">
        <v>3</v>
      </c>
      <c r="I17" s="42" cm="1">
        <f t="array" ref="I17">IF(AND(ISNUMBER(G17),ISNUMBER(H17)),H17-G17,"")</f>
        <v>1</v>
      </c>
      <c r="J17" t="s" s="43">
        <v>122</v>
      </c>
      <c r="K17" s="42"/>
      <c r="L17" s="44"/>
    </row>
    <row r="18" ht="36" customHeight="1">
      <c r="A18" t="s" s="40">
        <v>67</v>
      </c>
      <c r="B18" t="s" s="40">
        <v>68</v>
      </c>
      <c r="C18" t="s" s="31">
        <v>123</v>
      </c>
      <c r="D18" t="s" s="40">
        <v>124</v>
      </c>
      <c r="E18" t="s" s="40">
        <v>125</v>
      </c>
      <c r="F18" t="s" s="17">
        <v>126</v>
      </c>
      <c r="G18" s="41">
        <v>2</v>
      </c>
      <c r="H18" s="41">
        <v>3</v>
      </c>
      <c r="I18" s="42" cm="1">
        <f t="array" ref="I18">IF(AND(ISNUMBER(G18),ISNUMBER(H18)),H18-G18,"")</f>
        <v>1</v>
      </c>
      <c r="J18" t="s" s="43">
        <v>127</v>
      </c>
      <c r="K18" s="42"/>
      <c r="L18" s="44"/>
    </row>
    <row r="19" ht="36" customHeight="1">
      <c r="A19" t="s" s="40">
        <v>67</v>
      </c>
      <c r="B19" t="s" s="40">
        <v>68</v>
      </c>
      <c r="C19" t="s" s="31">
        <v>123</v>
      </c>
      <c r="D19" t="s" s="40">
        <v>124</v>
      </c>
      <c r="E19" t="s" s="40">
        <v>128</v>
      </c>
      <c r="F19" t="s" s="17">
        <v>129</v>
      </c>
      <c r="G19" s="41">
        <v>1</v>
      </c>
      <c r="H19" s="41">
        <v>3</v>
      </c>
      <c r="I19" s="42" cm="1">
        <f t="array" ref="I19">IF(AND(ISNUMBER(G19),ISNUMBER(H19)),H19-G19,"")</f>
        <v>2</v>
      </c>
      <c r="J19" t="s" s="43">
        <v>130</v>
      </c>
      <c r="K19" s="42"/>
      <c r="L19" s="44"/>
    </row>
    <row r="20" ht="36" customHeight="1">
      <c r="A20" t="s" s="40">
        <v>67</v>
      </c>
      <c r="B20" t="s" s="40">
        <v>68</v>
      </c>
      <c r="C20" t="s" s="31">
        <v>131</v>
      </c>
      <c r="D20" t="s" s="40">
        <v>132</v>
      </c>
      <c r="E20" t="s" s="40">
        <v>133</v>
      </c>
      <c r="F20" t="s" s="17">
        <v>134</v>
      </c>
      <c r="G20" s="41">
        <v>2</v>
      </c>
      <c r="H20" s="41">
        <v>3</v>
      </c>
      <c r="I20" s="42" cm="1">
        <f t="array" ref="I20">IF(AND(ISNUMBER(G20),ISNUMBER(H20)),H20-G20,"")</f>
        <v>1</v>
      </c>
      <c r="J20" t="s" s="43">
        <v>135</v>
      </c>
      <c r="K20" s="42"/>
      <c r="L20" s="44"/>
    </row>
    <row r="21" ht="36" customHeight="1">
      <c r="A21" t="s" s="40">
        <v>67</v>
      </c>
      <c r="B21" t="s" s="40">
        <v>68</v>
      </c>
      <c r="C21" t="s" s="31">
        <v>131</v>
      </c>
      <c r="D21" t="s" s="40">
        <v>132</v>
      </c>
      <c r="E21" t="s" s="40">
        <v>136</v>
      </c>
      <c r="F21" t="s" s="17">
        <v>137</v>
      </c>
      <c r="G21" s="41">
        <v>2</v>
      </c>
      <c r="H21" s="41">
        <v>3</v>
      </c>
      <c r="I21" s="42" cm="1">
        <f t="array" ref="I21">IF(AND(ISNUMBER(G21),ISNUMBER(H21)),H21-G21,"")</f>
        <v>1</v>
      </c>
      <c r="J21" t="s" s="43">
        <v>138</v>
      </c>
      <c r="K21" s="42"/>
      <c r="L21" s="44"/>
    </row>
    <row r="22" ht="36" customHeight="1">
      <c r="A22" t="s" s="40">
        <v>67</v>
      </c>
      <c r="B22" t="s" s="40">
        <v>68</v>
      </c>
      <c r="C22" t="s" s="31">
        <v>131</v>
      </c>
      <c r="D22" t="s" s="40">
        <v>132</v>
      </c>
      <c r="E22" t="s" s="40">
        <v>139</v>
      </c>
      <c r="F22" t="s" s="17">
        <v>140</v>
      </c>
      <c r="G22" s="41">
        <v>2</v>
      </c>
      <c r="H22" s="41">
        <v>3</v>
      </c>
      <c r="I22" s="42" cm="1">
        <f t="array" ref="I22">IF(AND(ISNUMBER(G22),ISNUMBER(H22)),H22-G22,"")</f>
        <v>1</v>
      </c>
      <c r="J22" t="s" s="43">
        <v>141</v>
      </c>
      <c r="K22" s="42"/>
      <c r="L22" s="44"/>
    </row>
    <row r="23" ht="36" customHeight="1">
      <c r="A23" t="s" s="40">
        <v>67</v>
      </c>
      <c r="B23" t="s" s="40">
        <v>68</v>
      </c>
      <c r="C23" t="s" s="31">
        <v>142</v>
      </c>
      <c r="D23" t="s" s="40">
        <v>143</v>
      </c>
      <c r="E23" t="s" s="40">
        <v>144</v>
      </c>
      <c r="F23" t="s" s="17">
        <v>145</v>
      </c>
      <c r="G23" s="41">
        <v>1</v>
      </c>
      <c r="H23" s="41">
        <v>3</v>
      </c>
      <c r="I23" s="42" cm="1">
        <f t="array" ref="I23">IF(AND(ISNUMBER(G23),ISNUMBER(H23)),H23-G23,"")</f>
        <v>2</v>
      </c>
      <c r="J23" t="s" s="43">
        <v>146</v>
      </c>
      <c r="K23" s="42"/>
      <c r="L23" s="44"/>
    </row>
    <row r="24" ht="36" customHeight="1">
      <c r="A24" t="s" s="40">
        <v>67</v>
      </c>
      <c r="B24" t="s" s="40">
        <v>68</v>
      </c>
      <c r="C24" t="s" s="31">
        <v>142</v>
      </c>
      <c r="D24" t="s" s="40">
        <v>143</v>
      </c>
      <c r="E24" t="s" s="40">
        <v>147</v>
      </c>
      <c r="F24" t="s" s="17">
        <v>148</v>
      </c>
      <c r="G24" s="41">
        <v>1</v>
      </c>
      <c r="H24" s="41">
        <v>3</v>
      </c>
      <c r="I24" s="42" cm="1">
        <f t="array" ref="I24">IF(AND(ISNUMBER(G24),ISNUMBER(H24)),H24-G24,"")</f>
        <v>2</v>
      </c>
      <c r="J24" t="s" s="43">
        <v>149</v>
      </c>
      <c r="K24" s="42"/>
      <c r="L24" s="44"/>
    </row>
    <row r="25" ht="36" customHeight="1">
      <c r="A25" t="s" s="40">
        <v>67</v>
      </c>
      <c r="B25" t="s" s="40">
        <v>68</v>
      </c>
      <c r="C25" t="s" s="31">
        <v>142</v>
      </c>
      <c r="D25" t="s" s="40">
        <v>143</v>
      </c>
      <c r="E25" t="s" s="40">
        <v>150</v>
      </c>
      <c r="F25" t="s" s="17">
        <v>151</v>
      </c>
      <c r="G25" s="41">
        <v>1</v>
      </c>
      <c r="H25" s="41">
        <v>3</v>
      </c>
      <c r="I25" s="42" cm="1">
        <f t="array" ref="I25">IF(AND(ISNUMBER(G25),ISNUMBER(H25)),H25-G25,"")</f>
        <v>2</v>
      </c>
      <c r="J25" t="s" s="43">
        <v>152</v>
      </c>
      <c r="K25" s="42"/>
      <c r="L25" s="44"/>
    </row>
    <row r="26" ht="36" customHeight="1">
      <c r="A26" t="s" s="40">
        <v>67</v>
      </c>
      <c r="B26" t="s" s="40">
        <v>68</v>
      </c>
      <c r="C26" t="s" s="31">
        <v>142</v>
      </c>
      <c r="D26" t="s" s="40">
        <v>143</v>
      </c>
      <c r="E26" t="s" s="40">
        <v>153</v>
      </c>
      <c r="F26" t="s" s="17">
        <v>154</v>
      </c>
      <c r="G26" s="41">
        <v>1</v>
      </c>
      <c r="H26" s="41">
        <v>3</v>
      </c>
      <c r="I26" s="42" cm="1">
        <f t="array" ref="I26">IF(AND(ISNUMBER(G26),ISNUMBER(H26)),H26-G26,"")</f>
        <v>2</v>
      </c>
      <c r="J26" t="s" s="45">
        <v>155</v>
      </c>
      <c r="K26" s="42"/>
      <c r="L26" s="44"/>
    </row>
    <row r="27" ht="36" customHeight="1">
      <c r="A27" t="s" s="40">
        <v>67</v>
      </c>
      <c r="B27" t="s" s="40">
        <v>68</v>
      </c>
      <c r="C27" t="s" s="31">
        <v>142</v>
      </c>
      <c r="D27" t="s" s="40">
        <v>143</v>
      </c>
      <c r="E27" t="s" s="40">
        <v>156</v>
      </c>
      <c r="F27" t="s" s="17">
        <v>157</v>
      </c>
      <c r="G27" s="41">
        <v>1</v>
      </c>
      <c r="H27" s="41">
        <v>3</v>
      </c>
      <c r="I27" s="42" cm="1">
        <f t="array" ref="I27">IF(AND(ISNUMBER(G27),ISNUMBER(H27)),H27-G27,"")</f>
        <v>2</v>
      </c>
      <c r="J27" t="s" s="43">
        <v>158</v>
      </c>
      <c r="K27" s="42"/>
      <c r="L27" s="44"/>
    </row>
    <row r="28" ht="36" customHeight="1">
      <c r="A28" t="s" s="40">
        <v>67</v>
      </c>
      <c r="B28" t="s" s="40">
        <v>68</v>
      </c>
      <c r="C28" t="s" s="31">
        <v>142</v>
      </c>
      <c r="D28" t="s" s="40">
        <v>143</v>
      </c>
      <c r="E28" t="s" s="40">
        <v>159</v>
      </c>
      <c r="F28" t="s" s="17">
        <v>160</v>
      </c>
      <c r="G28" s="41">
        <v>1</v>
      </c>
      <c r="H28" s="41">
        <v>3</v>
      </c>
      <c r="I28" s="42" cm="1">
        <f t="array" ref="I28">IF(AND(ISNUMBER(G28),ISNUMBER(H28)),H28-G28,"")</f>
        <v>2</v>
      </c>
      <c r="J28" t="s" s="43">
        <v>161</v>
      </c>
      <c r="K28" s="42"/>
      <c r="L28" s="44"/>
    </row>
    <row r="29" ht="36" customHeight="1">
      <c r="A29" t="s" s="40">
        <v>67</v>
      </c>
      <c r="B29" t="s" s="40">
        <v>68</v>
      </c>
      <c r="C29" t="s" s="31">
        <v>142</v>
      </c>
      <c r="D29" t="s" s="40">
        <v>143</v>
      </c>
      <c r="E29" t="s" s="40">
        <v>162</v>
      </c>
      <c r="F29" t="s" s="17">
        <v>163</v>
      </c>
      <c r="G29" s="41">
        <v>1</v>
      </c>
      <c r="H29" s="41">
        <v>3</v>
      </c>
      <c r="I29" s="42" cm="1">
        <f t="array" ref="I29">IF(AND(ISNUMBER(G29),ISNUMBER(H29)),H29-G29,"")</f>
        <v>2</v>
      </c>
      <c r="J29" t="s" s="43">
        <v>164</v>
      </c>
      <c r="K29" s="42"/>
      <c r="L29" s="44"/>
    </row>
    <row r="30" ht="36" customHeight="1">
      <c r="A30" t="s" s="40">
        <v>67</v>
      </c>
      <c r="B30" t="s" s="40">
        <v>68</v>
      </c>
      <c r="C30" t="s" s="31">
        <v>142</v>
      </c>
      <c r="D30" t="s" s="40">
        <v>143</v>
      </c>
      <c r="E30" t="s" s="40">
        <v>165</v>
      </c>
      <c r="F30" t="s" s="17">
        <v>166</v>
      </c>
      <c r="G30" s="41">
        <v>1</v>
      </c>
      <c r="H30" s="41">
        <v>3</v>
      </c>
      <c r="I30" s="42" cm="1">
        <f t="array" ref="I30">IF(AND(ISNUMBER(G30),ISNUMBER(H30)),H30-G30,"")</f>
        <v>2</v>
      </c>
      <c r="J30" t="s" s="43">
        <v>167</v>
      </c>
      <c r="K30" s="42"/>
      <c r="L30" s="44"/>
    </row>
    <row r="31" ht="36" customHeight="1">
      <c r="A31" t="s" s="40">
        <v>67</v>
      </c>
      <c r="B31" t="s" s="40">
        <v>68</v>
      </c>
      <c r="C31" t="s" s="31">
        <v>142</v>
      </c>
      <c r="D31" t="s" s="40">
        <v>143</v>
      </c>
      <c r="E31" t="s" s="40">
        <v>168</v>
      </c>
      <c r="F31" t="s" s="17">
        <v>169</v>
      </c>
      <c r="G31" s="41">
        <v>1</v>
      </c>
      <c r="H31" s="41">
        <v>3</v>
      </c>
      <c r="I31" s="42" cm="1">
        <f t="array" ref="I31">IF(AND(ISNUMBER(G31),ISNUMBER(H31)),H31-G31,"")</f>
        <v>2</v>
      </c>
      <c r="J31" t="s" s="43">
        <v>170</v>
      </c>
      <c r="K31" s="42"/>
      <c r="L31" s="44"/>
    </row>
    <row r="32" ht="36" customHeight="1">
      <c r="A32" t="s" s="40">
        <v>67</v>
      </c>
      <c r="B32" t="s" s="40">
        <v>68</v>
      </c>
      <c r="C32" t="s" s="31">
        <v>142</v>
      </c>
      <c r="D32" t="s" s="40">
        <v>143</v>
      </c>
      <c r="E32" t="s" s="40">
        <v>171</v>
      </c>
      <c r="F32" t="s" s="17">
        <v>172</v>
      </c>
      <c r="G32" s="41">
        <v>1</v>
      </c>
      <c r="H32" s="41">
        <v>3</v>
      </c>
      <c r="I32" s="42" cm="1">
        <f t="array" ref="I32">IF(AND(ISNUMBER(G32),ISNUMBER(H32)),H32-G32,"")</f>
        <v>2</v>
      </c>
      <c r="J32" t="s" s="43">
        <v>173</v>
      </c>
      <c r="K32" s="42"/>
      <c r="L32" s="44"/>
    </row>
    <row r="33" ht="36" customHeight="1">
      <c r="A33" t="s" s="46">
        <v>174</v>
      </c>
      <c r="B33" t="s" s="46">
        <v>175</v>
      </c>
      <c r="C33" t="s" s="34">
        <v>176</v>
      </c>
      <c r="D33" t="s" s="46">
        <v>177</v>
      </c>
      <c r="E33" t="s" s="46">
        <v>178</v>
      </c>
      <c r="F33" t="s" s="17">
        <v>179</v>
      </c>
      <c r="G33" s="41">
        <v>3</v>
      </c>
      <c r="H33" s="41">
        <v>3</v>
      </c>
      <c r="I33" s="42" cm="1">
        <f t="array" ref="I33">IF(AND(ISNUMBER(G33),ISNUMBER(H33)),H33-G33,"")</f>
        <v>0</v>
      </c>
      <c r="J33" t="s" s="43">
        <v>180</v>
      </c>
      <c r="K33" s="42"/>
      <c r="L33" s="44"/>
    </row>
    <row r="34" ht="36" customHeight="1">
      <c r="A34" t="s" s="46">
        <v>174</v>
      </c>
      <c r="B34" t="s" s="46">
        <v>175</v>
      </c>
      <c r="C34" t="s" s="34">
        <v>176</v>
      </c>
      <c r="D34" t="s" s="46">
        <v>177</v>
      </c>
      <c r="E34" t="s" s="46">
        <v>181</v>
      </c>
      <c r="F34" t="s" s="17">
        <v>182</v>
      </c>
      <c r="G34" s="41">
        <v>2</v>
      </c>
      <c r="H34" s="41">
        <v>3</v>
      </c>
      <c r="I34" s="42" cm="1">
        <f t="array" ref="I34">IF(AND(ISNUMBER(G34),ISNUMBER(H34)),H34-G34,"")</f>
        <v>1</v>
      </c>
      <c r="J34" t="s" s="43">
        <v>183</v>
      </c>
      <c r="K34" s="42"/>
      <c r="L34" s="44"/>
    </row>
    <row r="35" ht="36" customHeight="1">
      <c r="A35" t="s" s="46">
        <v>174</v>
      </c>
      <c r="B35" t="s" s="46">
        <v>175</v>
      </c>
      <c r="C35" t="s" s="34">
        <v>176</v>
      </c>
      <c r="D35" t="s" s="46">
        <v>177</v>
      </c>
      <c r="E35" t="s" s="46">
        <v>184</v>
      </c>
      <c r="F35" t="s" s="17">
        <v>185</v>
      </c>
      <c r="G35" s="41">
        <v>2</v>
      </c>
      <c r="H35" s="41">
        <v>3</v>
      </c>
      <c r="I35" s="42" cm="1">
        <f t="array" ref="I35">IF(AND(ISNUMBER(G35),ISNUMBER(H35)),H35-G35,"")</f>
        <v>1</v>
      </c>
      <c r="J35" t="s" s="43">
        <v>186</v>
      </c>
      <c r="K35" s="42"/>
      <c r="L35" s="44"/>
    </row>
    <row r="36" ht="36" customHeight="1">
      <c r="A36" t="s" s="46">
        <v>174</v>
      </c>
      <c r="B36" t="s" s="46">
        <v>175</v>
      </c>
      <c r="C36" t="s" s="34">
        <v>176</v>
      </c>
      <c r="D36" t="s" s="46">
        <v>177</v>
      </c>
      <c r="E36" t="s" s="46">
        <v>187</v>
      </c>
      <c r="F36" t="s" s="17">
        <v>188</v>
      </c>
      <c r="G36" s="41">
        <v>2</v>
      </c>
      <c r="H36" s="41">
        <v>3</v>
      </c>
      <c r="I36" s="42" cm="1">
        <f t="array" ref="I36">IF(AND(ISNUMBER(G36),ISNUMBER(H36)),H36-G36,"")</f>
        <v>1</v>
      </c>
      <c r="J36" t="s" s="43">
        <v>189</v>
      </c>
      <c r="K36" s="42"/>
      <c r="L36" s="44"/>
    </row>
    <row r="37" ht="36" customHeight="1">
      <c r="A37" t="s" s="46">
        <v>174</v>
      </c>
      <c r="B37" t="s" s="46">
        <v>175</v>
      </c>
      <c r="C37" t="s" s="34">
        <v>176</v>
      </c>
      <c r="D37" t="s" s="46">
        <v>177</v>
      </c>
      <c r="E37" t="s" s="46">
        <v>190</v>
      </c>
      <c r="F37" t="s" s="17">
        <v>191</v>
      </c>
      <c r="G37" s="41">
        <v>2</v>
      </c>
      <c r="H37" s="41">
        <v>3</v>
      </c>
      <c r="I37" s="42" cm="1">
        <f t="array" ref="I37">IF(AND(ISNUMBER(G37),ISNUMBER(H37)),H37-G37,"")</f>
        <v>1</v>
      </c>
      <c r="J37" t="s" s="43">
        <v>192</v>
      </c>
      <c r="K37" s="42"/>
      <c r="L37" s="44"/>
    </row>
    <row r="38" ht="36" customHeight="1">
      <c r="A38" t="s" s="46">
        <v>174</v>
      </c>
      <c r="B38" t="s" s="46">
        <v>175</v>
      </c>
      <c r="C38" t="s" s="34">
        <v>176</v>
      </c>
      <c r="D38" t="s" s="46">
        <v>177</v>
      </c>
      <c r="E38" t="s" s="46">
        <v>193</v>
      </c>
      <c r="F38" t="s" s="17">
        <v>194</v>
      </c>
      <c r="G38" s="41">
        <v>2</v>
      </c>
      <c r="H38" s="41">
        <v>3</v>
      </c>
      <c r="I38" s="42" cm="1">
        <f t="array" ref="I38">IF(AND(ISNUMBER(G38),ISNUMBER(H38)),H38-G38,"")</f>
        <v>1</v>
      </c>
      <c r="J38" t="s" s="43">
        <v>195</v>
      </c>
      <c r="K38" s="42"/>
      <c r="L38" s="44"/>
    </row>
    <row r="39" ht="36" customHeight="1">
      <c r="A39" t="s" s="46">
        <v>174</v>
      </c>
      <c r="B39" t="s" s="46">
        <v>175</v>
      </c>
      <c r="C39" t="s" s="34">
        <v>176</v>
      </c>
      <c r="D39" t="s" s="46">
        <v>177</v>
      </c>
      <c r="E39" t="s" s="46">
        <v>196</v>
      </c>
      <c r="F39" t="s" s="17">
        <v>197</v>
      </c>
      <c r="G39" s="41">
        <v>2</v>
      </c>
      <c r="H39" s="41">
        <v>3</v>
      </c>
      <c r="I39" s="42" cm="1">
        <f t="array" ref="I39">IF(AND(ISNUMBER(G39),ISNUMBER(H39)),H39-G39,"")</f>
        <v>1</v>
      </c>
      <c r="J39" t="s" s="43">
        <v>198</v>
      </c>
      <c r="K39" s="42"/>
      <c r="L39" s="44"/>
    </row>
    <row r="40" ht="36" customHeight="1">
      <c r="A40" t="s" s="46">
        <v>174</v>
      </c>
      <c r="B40" t="s" s="46">
        <v>175</v>
      </c>
      <c r="C40" t="s" s="34">
        <v>199</v>
      </c>
      <c r="D40" t="s" s="46">
        <v>200</v>
      </c>
      <c r="E40" t="s" s="46">
        <v>201</v>
      </c>
      <c r="F40" t="s" s="17">
        <v>202</v>
      </c>
      <c r="G40" s="41">
        <v>3</v>
      </c>
      <c r="H40" s="41">
        <v>3</v>
      </c>
      <c r="I40" s="42" cm="1">
        <f t="array" ref="I40">IF(AND(ISNUMBER(G40),ISNUMBER(H40)),H40-G40,"")</f>
        <v>0</v>
      </c>
      <c r="J40" t="s" s="43">
        <v>203</v>
      </c>
      <c r="K40" s="42"/>
      <c r="L40" s="44"/>
    </row>
    <row r="41" ht="36" customHeight="1">
      <c r="A41" t="s" s="46">
        <v>174</v>
      </c>
      <c r="B41" t="s" s="46">
        <v>175</v>
      </c>
      <c r="C41" t="s" s="34">
        <v>199</v>
      </c>
      <c r="D41" t="s" s="46">
        <v>200</v>
      </c>
      <c r="E41" t="s" s="46">
        <v>204</v>
      </c>
      <c r="F41" t="s" s="17">
        <v>205</v>
      </c>
      <c r="G41" s="41">
        <v>2</v>
      </c>
      <c r="H41" s="41">
        <v>3</v>
      </c>
      <c r="I41" s="42" cm="1">
        <f t="array" ref="I41">IF(AND(ISNUMBER(G41),ISNUMBER(H41)),H41-G41,"")</f>
        <v>1</v>
      </c>
      <c r="J41" t="s" s="43">
        <v>206</v>
      </c>
      <c r="K41" s="42"/>
      <c r="L41" s="44"/>
    </row>
    <row r="42" ht="36" customHeight="1">
      <c r="A42" t="s" s="46">
        <v>174</v>
      </c>
      <c r="B42" t="s" s="46">
        <v>175</v>
      </c>
      <c r="C42" t="s" s="34">
        <v>199</v>
      </c>
      <c r="D42" t="s" s="46">
        <v>200</v>
      </c>
      <c r="E42" t="s" s="46">
        <v>207</v>
      </c>
      <c r="F42" t="s" s="17">
        <v>208</v>
      </c>
      <c r="G42" s="41">
        <v>1</v>
      </c>
      <c r="H42" s="41">
        <v>3</v>
      </c>
      <c r="I42" s="42" cm="1">
        <f t="array" ref="I42">IF(AND(ISNUMBER(G42),ISNUMBER(H42)),H42-G42,"")</f>
        <v>2</v>
      </c>
      <c r="J42" t="s" s="43">
        <v>209</v>
      </c>
      <c r="K42" s="42"/>
      <c r="L42" s="44"/>
    </row>
    <row r="43" ht="36" customHeight="1">
      <c r="A43" t="s" s="46">
        <v>174</v>
      </c>
      <c r="B43" t="s" s="46">
        <v>175</v>
      </c>
      <c r="C43" t="s" s="34">
        <v>199</v>
      </c>
      <c r="D43" t="s" s="46">
        <v>200</v>
      </c>
      <c r="E43" t="s" s="46">
        <v>210</v>
      </c>
      <c r="F43" t="s" s="17">
        <v>211</v>
      </c>
      <c r="G43" s="41">
        <v>1</v>
      </c>
      <c r="H43" s="41">
        <v>3</v>
      </c>
      <c r="I43" s="42" cm="1">
        <f t="array" ref="I43">IF(AND(ISNUMBER(G43),ISNUMBER(H43)),H43-G43,"")</f>
        <v>2</v>
      </c>
      <c r="J43" t="s" s="43">
        <v>212</v>
      </c>
      <c r="K43" s="42"/>
      <c r="L43" s="44"/>
    </row>
    <row r="44" ht="36" customHeight="1">
      <c r="A44" t="s" s="46">
        <v>174</v>
      </c>
      <c r="B44" t="s" s="46">
        <v>175</v>
      </c>
      <c r="C44" t="s" s="34">
        <v>199</v>
      </c>
      <c r="D44" t="s" s="46">
        <v>200</v>
      </c>
      <c r="E44" t="s" s="46">
        <v>213</v>
      </c>
      <c r="F44" t="s" s="17">
        <v>214</v>
      </c>
      <c r="G44" s="41">
        <v>1</v>
      </c>
      <c r="H44" s="41">
        <v>3</v>
      </c>
      <c r="I44" s="42" cm="1">
        <f t="array" ref="I44">IF(AND(ISNUMBER(G44),ISNUMBER(H44)),H44-G44,"")</f>
        <v>2</v>
      </c>
      <c r="J44" t="s" s="43">
        <v>215</v>
      </c>
      <c r="K44" s="42"/>
      <c r="L44" s="44"/>
    </row>
    <row r="45" ht="36" customHeight="1">
      <c r="A45" t="s" s="46">
        <v>174</v>
      </c>
      <c r="B45" t="s" s="46">
        <v>175</v>
      </c>
      <c r="C45" t="s" s="34">
        <v>199</v>
      </c>
      <c r="D45" t="s" s="46">
        <v>200</v>
      </c>
      <c r="E45" t="s" s="46">
        <v>216</v>
      </c>
      <c r="F45" t="s" s="17">
        <v>217</v>
      </c>
      <c r="G45" s="41">
        <v>1</v>
      </c>
      <c r="H45" s="41">
        <v>3</v>
      </c>
      <c r="I45" s="42" cm="1">
        <f t="array" ref="I45">IF(AND(ISNUMBER(G45),ISNUMBER(H45)),H45-G45,"")</f>
        <v>2</v>
      </c>
      <c r="J45" t="s" s="43">
        <v>218</v>
      </c>
      <c r="K45" s="42"/>
      <c r="L45" s="44"/>
    </row>
    <row r="46" ht="36" customHeight="1">
      <c r="A46" t="s" s="46">
        <v>174</v>
      </c>
      <c r="B46" t="s" s="46">
        <v>175</v>
      </c>
      <c r="C46" t="s" s="34">
        <v>199</v>
      </c>
      <c r="D46" t="s" s="46">
        <v>200</v>
      </c>
      <c r="E46" t="s" s="46">
        <v>219</v>
      </c>
      <c r="F46" t="s" s="17">
        <v>220</v>
      </c>
      <c r="G46" s="41">
        <v>1</v>
      </c>
      <c r="H46" s="41">
        <v>3</v>
      </c>
      <c r="I46" s="42" cm="1">
        <f t="array" ref="I46">IF(AND(ISNUMBER(G46),ISNUMBER(H46)),H46-G46,"")</f>
        <v>2</v>
      </c>
      <c r="J46" t="s" s="43">
        <v>221</v>
      </c>
      <c r="K46" s="42"/>
      <c r="L46" s="44"/>
    </row>
    <row r="47" ht="36" customHeight="1">
      <c r="A47" t="s" s="46">
        <v>174</v>
      </c>
      <c r="B47" t="s" s="46">
        <v>175</v>
      </c>
      <c r="C47" t="s" s="34">
        <v>199</v>
      </c>
      <c r="D47" t="s" s="46">
        <v>200</v>
      </c>
      <c r="E47" t="s" s="46">
        <v>222</v>
      </c>
      <c r="F47" t="s" s="17">
        <v>223</v>
      </c>
      <c r="G47" s="41">
        <v>1</v>
      </c>
      <c r="H47" s="41">
        <v>2</v>
      </c>
      <c r="I47" s="42" cm="1">
        <f t="array" ref="I47">IF(AND(ISNUMBER(G47),ISNUMBER(H47)),H47-G47,"")</f>
        <v>1</v>
      </c>
      <c r="J47" t="s" s="43">
        <v>224</v>
      </c>
      <c r="K47" s="42"/>
      <c r="L47" s="44"/>
    </row>
    <row r="48" ht="36" customHeight="1">
      <c r="A48" t="s" s="46">
        <v>174</v>
      </c>
      <c r="B48" t="s" s="46">
        <v>175</v>
      </c>
      <c r="C48" t="s" s="34">
        <v>199</v>
      </c>
      <c r="D48" t="s" s="46">
        <v>200</v>
      </c>
      <c r="E48" t="s" s="46">
        <v>225</v>
      </c>
      <c r="F48" t="s" s="17">
        <v>226</v>
      </c>
      <c r="G48" s="41">
        <v>1</v>
      </c>
      <c r="H48" s="41">
        <v>2</v>
      </c>
      <c r="I48" s="42" cm="1">
        <f t="array" ref="I48">IF(AND(ISNUMBER(G48),ISNUMBER(H48)),H48-G48,"")</f>
        <v>1</v>
      </c>
      <c r="J48" t="s" s="45">
        <v>227</v>
      </c>
      <c r="K48" s="42"/>
      <c r="L48" s="44"/>
    </row>
    <row r="49" ht="36" customHeight="1">
      <c r="A49" t="s" s="46">
        <v>174</v>
      </c>
      <c r="B49" t="s" s="46">
        <v>175</v>
      </c>
      <c r="C49" t="s" s="34">
        <v>199</v>
      </c>
      <c r="D49" t="s" s="46">
        <v>200</v>
      </c>
      <c r="E49" t="s" s="46">
        <v>228</v>
      </c>
      <c r="F49" t="s" s="17">
        <v>229</v>
      </c>
      <c r="G49" s="41">
        <v>1</v>
      </c>
      <c r="H49" s="41">
        <v>2</v>
      </c>
      <c r="I49" s="42" cm="1">
        <f t="array" ref="I49">IF(AND(ISNUMBER(G49),ISNUMBER(H49)),H49-G49,"")</f>
        <v>1</v>
      </c>
      <c r="J49" t="s" s="43">
        <v>230</v>
      </c>
      <c r="K49" s="42"/>
      <c r="L49" s="44"/>
    </row>
    <row r="50" ht="36" customHeight="1">
      <c r="A50" t="s" s="46">
        <v>174</v>
      </c>
      <c r="B50" t="s" s="46">
        <v>175</v>
      </c>
      <c r="C50" t="s" s="34">
        <v>231</v>
      </c>
      <c r="D50" t="s" s="46">
        <v>232</v>
      </c>
      <c r="E50" t="s" s="46">
        <v>233</v>
      </c>
      <c r="F50" t="s" s="17">
        <v>234</v>
      </c>
      <c r="G50" s="41">
        <v>2</v>
      </c>
      <c r="H50" s="41">
        <v>3</v>
      </c>
      <c r="I50" s="42" cm="1">
        <f t="array" ref="I50">IF(AND(ISNUMBER(G50),ISNUMBER(H50)),H50-G50,"")</f>
        <v>1</v>
      </c>
      <c r="J50" t="s" s="43">
        <v>235</v>
      </c>
      <c r="K50" s="42"/>
      <c r="L50" s="44"/>
    </row>
    <row r="51" ht="36" customHeight="1">
      <c r="A51" t="s" s="46">
        <v>174</v>
      </c>
      <c r="B51" t="s" s="46">
        <v>175</v>
      </c>
      <c r="C51" t="s" s="34">
        <v>231</v>
      </c>
      <c r="D51" t="s" s="46">
        <v>232</v>
      </c>
      <c r="E51" t="s" s="46">
        <v>236</v>
      </c>
      <c r="F51" t="s" s="17">
        <v>237</v>
      </c>
      <c r="G51" s="41">
        <v>1</v>
      </c>
      <c r="H51" s="41">
        <v>3</v>
      </c>
      <c r="I51" s="42" cm="1">
        <f t="array" ref="I51">IF(AND(ISNUMBER(G51),ISNUMBER(H51)),H51-G51,"")</f>
        <v>2</v>
      </c>
      <c r="J51" t="s" s="43">
        <v>238</v>
      </c>
      <c r="K51" s="42"/>
      <c r="L51" s="44"/>
    </row>
    <row r="52" ht="36" customHeight="1">
      <c r="A52" t="s" s="46">
        <v>174</v>
      </c>
      <c r="B52" t="s" s="46">
        <v>175</v>
      </c>
      <c r="C52" t="s" s="34">
        <v>231</v>
      </c>
      <c r="D52" t="s" s="46">
        <v>232</v>
      </c>
      <c r="E52" t="s" s="46">
        <v>239</v>
      </c>
      <c r="F52" t="s" s="17">
        <v>240</v>
      </c>
      <c r="G52" s="41">
        <v>2</v>
      </c>
      <c r="H52" s="41">
        <v>3</v>
      </c>
      <c r="I52" s="42" cm="1">
        <f t="array" ref="I52">IF(AND(ISNUMBER(G52),ISNUMBER(H52)),H52-G52,"")</f>
        <v>1</v>
      </c>
      <c r="J52" t="s" s="43">
        <v>241</v>
      </c>
      <c r="K52" s="42"/>
      <c r="L52" s="44"/>
    </row>
    <row r="53" ht="36" customHeight="1">
      <c r="A53" t="s" s="46">
        <v>174</v>
      </c>
      <c r="B53" t="s" s="46">
        <v>175</v>
      </c>
      <c r="C53" t="s" s="34">
        <v>231</v>
      </c>
      <c r="D53" t="s" s="46">
        <v>232</v>
      </c>
      <c r="E53" t="s" s="46">
        <v>242</v>
      </c>
      <c r="F53" t="s" s="17">
        <v>243</v>
      </c>
      <c r="G53" s="41">
        <v>2</v>
      </c>
      <c r="H53" s="41">
        <v>3</v>
      </c>
      <c r="I53" s="42" cm="1">
        <f t="array" ref="I53">IF(AND(ISNUMBER(G53),ISNUMBER(H53)),H53-G53,"")</f>
        <v>1</v>
      </c>
      <c r="J53" t="s" s="43">
        <v>244</v>
      </c>
      <c r="K53" s="42"/>
      <c r="L53" s="44"/>
    </row>
    <row r="54" ht="36" customHeight="1">
      <c r="A54" t="s" s="47">
        <v>245</v>
      </c>
      <c r="B54" t="s" s="47">
        <v>246</v>
      </c>
      <c r="C54" t="s" s="29">
        <v>247</v>
      </c>
      <c r="D54" t="s" s="47">
        <v>248</v>
      </c>
      <c r="E54" t="s" s="47">
        <v>249</v>
      </c>
      <c r="F54" t="s" s="17">
        <v>250</v>
      </c>
      <c r="G54" s="48">
        <v>2</v>
      </c>
      <c r="H54" s="49">
        <v>4</v>
      </c>
      <c r="I54" s="42" cm="1">
        <f t="array" ref="I54">IF(AND(ISNUMBER(G54),ISNUMBER(H54)),H54-G54,"")</f>
        <v>2</v>
      </c>
      <c r="J54" t="s" s="45">
        <v>251</v>
      </c>
      <c r="K54" s="42"/>
      <c r="L54" s="44"/>
    </row>
    <row r="55" ht="36" customHeight="1">
      <c r="A55" t="s" s="47">
        <v>245</v>
      </c>
      <c r="B55" t="s" s="47">
        <v>246</v>
      </c>
      <c r="C55" t="s" s="29">
        <v>247</v>
      </c>
      <c r="D55" t="s" s="47">
        <v>248</v>
      </c>
      <c r="E55" t="s" s="47">
        <v>252</v>
      </c>
      <c r="F55" t="s" s="17">
        <v>253</v>
      </c>
      <c r="G55" s="50">
        <v>2</v>
      </c>
      <c r="H55" s="51">
        <v>3</v>
      </c>
      <c r="I55" s="42" cm="1">
        <f t="array" ref="I55">IF(AND(ISNUMBER(G55),ISNUMBER(H55)),H55-G55,"")</f>
        <v>1</v>
      </c>
      <c r="J55" t="s" s="45">
        <v>254</v>
      </c>
      <c r="K55" s="42"/>
      <c r="L55" s="44"/>
    </row>
    <row r="56" ht="36" customHeight="1">
      <c r="A56" t="s" s="47">
        <v>245</v>
      </c>
      <c r="B56" t="s" s="47">
        <v>246</v>
      </c>
      <c r="C56" t="s" s="29">
        <v>247</v>
      </c>
      <c r="D56" t="s" s="47">
        <v>248</v>
      </c>
      <c r="E56" t="s" s="47">
        <v>255</v>
      </c>
      <c r="F56" t="s" s="17">
        <v>256</v>
      </c>
      <c r="G56" s="50">
        <v>2</v>
      </c>
      <c r="H56" s="51">
        <v>4</v>
      </c>
      <c r="I56" s="42" cm="1">
        <f t="array" ref="I56">IF(AND(ISNUMBER(G56),ISNUMBER(H56)),H56-G56,"")</f>
        <v>2</v>
      </c>
      <c r="J56" t="s" s="45">
        <v>257</v>
      </c>
      <c r="K56" s="42"/>
      <c r="L56" s="44"/>
    </row>
    <row r="57" ht="36" customHeight="1">
      <c r="A57" t="s" s="47">
        <v>245</v>
      </c>
      <c r="B57" t="s" s="47">
        <v>246</v>
      </c>
      <c r="C57" t="s" s="29">
        <v>247</v>
      </c>
      <c r="D57" t="s" s="47">
        <v>248</v>
      </c>
      <c r="E57" t="s" s="47">
        <v>258</v>
      </c>
      <c r="F57" t="s" s="17">
        <v>259</v>
      </c>
      <c r="G57" s="50">
        <v>2</v>
      </c>
      <c r="H57" s="51">
        <v>3</v>
      </c>
      <c r="I57" s="42" cm="1">
        <f t="array" ref="I57">IF(AND(ISNUMBER(G57),ISNUMBER(H57)),H57-G57,"")</f>
        <v>1</v>
      </c>
      <c r="J57" t="s" s="45">
        <v>260</v>
      </c>
      <c r="K57" s="42"/>
      <c r="L57" s="44"/>
    </row>
    <row r="58" ht="36" customHeight="1">
      <c r="A58" t="s" s="47">
        <v>245</v>
      </c>
      <c r="B58" t="s" s="47">
        <v>246</v>
      </c>
      <c r="C58" t="s" s="29">
        <v>247</v>
      </c>
      <c r="D58" t="s" s="47">
        <v>248</v>
      </c>
      <c r="E58" t="s" s="47">
        <v>261</v>
      </c>
      <c r="F58" t="s" s="17">
        <v>262</v>
      </c>
      <c r="G58" s="50">
        <v>1</v>
      </c>
      <c r="H58" s="51">
        <v>4</v>
      </c>
      <c r="I58" s="42" cm="1">
        <f t="array" ref="I58">IF(AND(ISNUMBER(G58),ISNUMBER(H58)),H58-G58,"")</f>
        <v>3</v>
      </c>
      <c r="J58" t="s" s="45">
        <v>263</v>
      </c>
      <c r="K58" s="42"/>
      <c r="L58" s="44"/>
    </row>
    <row r="59" ht="36" customHeight="1">
      <c r="A59" t="s" s="47">
        <v>245</v>
      </c>
      <c r="B59" t="s" s="47">
        <v>246</v>
      </c>
      <c r="C59" t="s" s="29">
        <v>247</v>
      </c>
      <c r="D59" t="s" s="47">
        <v>248</v>
      </c>
      <c r="E59" t="s" s="47">
        <v>264</v>
      </c>
      <c r="F59" t="s" s="17">
        <v>265</v>
      </c>
      <c r="G59" s="50">
        <v>2</v>
      </c>
      <c r="H59" s="51">
        <v>3</v>
      </c>
      <c r="I59" s="42" cm="1">
        <f t="array" ref="I59">IF(AND(ISNUMBER(G59),ISNUMBER(H59)),H59-G59,"")</f>
        <v>1</v>
      </c>
      <c r="J59" t="s" s="45">
        <v>266</v>
      </c>
      <c r="K59" s="42"/>
      <c r="L59" s="44"/>
    </row>
    <row r="60" ht="36" customHeight="1">
      <c r="A60" t="s" s="47">
        <v>245</v>
      </c>
      <c r="B60" t="s" s="47">
        <v>246</v>
      </c>
      <c r="C60" t="s" s="29">
        <v>267</v>
      </c>
      <c r="D60" t="s" s="47">
        <v>268</v>
      </c>
      <c r="E60" t="s" s="47">
        <v>269</v>
      </c>
      <c r="F60" t="s" s="17">
        <v>270</v>
      </c>
      <c r="G60" s="50">
        <v>2</v>
      </c>
      <c r="H60" s="51">
        <v>3</v>
      </c>
      <c r="I60" s="42" cm="1">
        <f t="array" ref="I60">IF(AND(ISNUMBER(G60),ISNUMBER(H60)),H60-G60,"")</f>
        <v>1</v>
      </c>
      <c r="J60" t="s" s="45">
        <v>271</v>
      </c>
      <c r="K60" s="42"/>
      <c r="L60" s="44"/>
    </row>
    <row r="61" ht="36" customHeight="1">
      <c r="A61" t="s" s="47">
        <v>245</v>
      </c>
      <c r="B61" t="s" s="47">
        <v>246</v>
      </c>
      <c r="C61" t="s" s="29">
        <v>267</v>
      </c>
      <c r="D61" t="s" s="47">
        <v>268</v>
      </c>
      <c r="E61" t="s" s="47">
        <v>272</v>
      </c>
      <c r="F61" t="s" s="17">
        <v>273</v>
      </c>
      <c r="G61" s="50">
        <v>1</v>
      </c>
      <c r="H61" s="51">
        <v>3</v>
      </c>
      <c r="I61" s="42" cm="1">
        <f t="array" ref="I61">IF(AND(ISNUMBER(G61),ISNUMBER(H61)),H61-G61,"")</f>
        <v>2</v>
      </c>
      <c r="J61" t="s" s="45">
        <v>274</v>
      </c>
      <c r="K61" s="42"/>
      <c r="L61" s="44"/>
    </row>
    <row r="62" ht="36" customHeight="1">
      <c r="A62" t="s" s="47">
        <v>245</v>
      </c>
      <c r="B62" t="s" s="47">
        <v>246</v>
      </c>
      <c r="C62" t="s" s="29">
        <v>275</v>
      </c>
      <c r="D62" t="s" s="47">
        <v>276</v>
      </c>
      <c r="E62" t="s" s="47">
        <v>277</v>
      </c>
      <c r="F62" t="s" s="17">
        <v>278</v>
      </c>
      <c r="G62" s="50">
        <v>2</v>
      </c>
      <c r="H62" s="51">
        <v>4</v>
      </c>
      <c r="I62" s="42" cm="1">
        <f t="array" ref="I62">IF(AND(ISNUMBER(G62),ISNUMBER(H62)),H62-G62,"")</f>
        <v>2</v>
      </c>
      <c r="J62" t="s" s="45">
        <v>279</v>
      </c>
      <c r="K62" s="42"/>
      <c r="L62" s="44"/>
    </row>
    <row r="63" ht="36" customHeight="1">
      <c r="A63" t="s" s="47">
        <v>245</v>
      </c>
      <c r="B63" t="s" s="47">
        <v>246</v>
      </c>
      <c r="C63" t="s" s="29">
        <v>275</v>
      </c>
      <c r="D63" t="s" s="47">
        <v>276</v>
      </c>
      <c r="E63" t="s" s="47">
        <v>280</v>
      </c>
      <c r="F63" t="s" s="17">
        <v>281</v>
      </c>
      <c r="G63" s="50">
        <v>1</v>
      </c>
      <c r="H63" s="51">
        <v>4</v>
      </c>
      <c r="I63" s="42" cm="1">
        <f t="array" ref="I63">IF(AND(ISNUMBER(G63),ISNUMBER(H63)),H63-G63,"")</f>
        <v>3</v>
      </c>
      <c r="J63" t="s" s="45">
        <v>282</v>
      </c>
      <c r="K63" s="42"/>
      <c r="L63" s="44"/>
    </row>
    <row r="64" ht="36" customHeight="1">
      <c r="A64" t="s" s="47">
        <v>245</v>
      </c>
      <c r="B64" t="s" s="47">
        <v>246</v>
      </c>
      <c r="C64" t="s" s="29">
        <v>275</v>
      </c>
      <c r="D64" t="s" s="47">
        <v>276</v>
      </c>
      <c r="E64" t="s" s="47">
        <v>283</v>
      </c>
      <c r="F64" t="s" s="17">
        <v>284</v>
      </c>
      <c r="G64" s="50">
        <v>1</v>
      </c>
      <c r="H64" s="51">
        <v>3</v>
      </c>
      <c r="I64" s="42" cm="1">
        <f t="array" ref="I64">IF(AND(ISNUMBER(G64),ISNUMBER(H64)),H64-G64,"")</f>
        <v>2</v>
      </c>
      <c r="J64" t="s" s="45">
        <v>285</v>
      </c>
      <c r="K64" s="42"/>
      <c r="L64" s="44"/>
    </row>
    <row r="65" ht="36" customHeight="1">
      <c r="A65" t="s" s="47">
        <v>245</v>
      </c>
      <c r="B65" t="s" s="47">
        <v>246</v>
      </c>
      <c r="C65" t="s" s="29">
        <v>275</v>
      </c>
      <c r="D65" t="s" s="47">
        <v>276</v>
      </c>
      <c r="E65" t="s" s="47">
        <v>286</v>
      </c>
      <c r="F65" t="s" s="17">
        <v>287</v>
      </c>
      <c r="G65" s="50">
        <v>2</v>
      </c>
      <c r="H65" s="51">
        <v>3</v>
      </c>
      <c r="I65" s="42" cm="1">
        <f t="array" ref="I65">IF(AND(ISNUMBER(G65),ISNUMBER(H65)),H65-G65,"")</f>
        <v>1</v>
      </c>
      <c r="J65" t="s" s="45">
        <v>288</v>
      </c>
      <c r="K65" s="42"/>
      <c r="L65" s="44"/>
    </row>
    <row r="66" ht="36" customHeight="1">
      <c r="A66" t="s" s="47">
        <v>245</v>
      </c>
      <c r="B66" t="s" s="47">
        <v>246</v>
      </c>
      <c r="C66" t="s" s="29">
        <v>289</v>
      </c>
      <c r="D66" t="s" s="47">
        <v>290</v>
      </c>
      <c r="E66" t="s" s="47">
        <v>291</v>
      </c>
      <c r="F66" t="s" s="17">
        <v>292</v>
      </c>
      <c r="G66" s="50">
        <v>2</v>
      </c>
      <c r="H66" s="51">
        <v>3</v>
      </c>
      <c r="I66" s="42" cm="1">
        <f t="array" ref="I66">IF(AND(ISNUMBER(G66),ISNUMBER(H66)),H66-G66,"")</f>
        <v>1</v>
      </c>
      <c r="J66" t="s" s="45">
        <v>293</v>
      </c>
      <c r="K66" s="42"/>
      <c r="L66" s="44"/>
    </row>
    <row r="67" ht="36" customHeight="1">
      <c r="A67" t="s" s="47">
        <v>245</v>
      </c>
      <c r="B67" t="s" s="47">
        <v>246</v>
      </c>
      <c r="C67" t="s" s="29">
        <v>289</v>
      </c>
      <c r="D67" t="s" s="47">
        <v>290</v>
      </c>
      <c r="E67" t="s" s="47">
        <v>294</v>
      </c>
      <c r="F67" t="s" s="17">
        <v>295</v>
      </c>
      <c r="G67" s="50">
        <v>2</v>
      </c>
      <c r="H67" s="51">
        <v>3</v>
      </c>
      <c r="I67" s="42" cm="1">
        <f t="array" ref="I67">IF(AND(ISNUMBER(G67),ISNUMBER(H67)),H67-G67,"")</f>
        <v>1</v>
      </c>
      <c r="J67" t="s" s="45">
        <v>296</v>
      </c>
      <c r="K67" s="42"/>
      <c r="L67" s="44"/>
    </row>
    <row r="68" ht="36" customHeight="1">
      <c r="A68" t="s" s="47">
        <v>245</v>
      </c>
      <c r="B68" t="s" s="47">
        <v>246</v>
      </c>
      <c r="C68" t="s" s="29">
        <v>289</v>
      </c>
      <c r="D68" t="s" s="47">
        <v>290</v>
      </c>
      <c r="E68" t="s" s="47">
        <v>297</v>
      </c>
      <c r="F68" t="s" s="17">
        <v>298</v>
      </c>
      <c r="G68" s="50">
        <v>2</v>
      </c>
      <c r="H68" s="51">
        <v>3</v>
      </c>
      <c r="I68" s="42" cm="1">
        <f t="array" ref="I68">IF(AND(ISNUMBER(G68),ISNUMBER(H68)),H68-G68,"")</f>
        <v>1</v>
      </c>
      <c r="J68" t="s" s="45">
        <v>299</v>
      </c>
      <c r="K68" s="42"/>
      <c r="L68" s="44"/>
    </row>
    <row r="69" ht="36" customHeight="1">
      <c r="A69" t="s" s="47">
        <v>245</v>
      </c>
      <c r="B69" t="s" s="47">
        <v>246</v>
      </c>
      <c r="C69" t="s" s="29">
        <v>289</v>
      </c>
      <c r="D69" t="s" s="47">
        <v>290</v>
      </c>
      <c r="E69" t="s" s="47">
        <v>300</v>
      </c>
      <c r="F69" t="s" s="17">
        <v>301</v>
      </c>
      <c r="G69" s="50">
        <v>2</v>
      </c>
      <c r="H69" s="51">
        <v>3</v>
      </c>
      <c r="I69" s="42" cm="1">
        <f t="array" ref="I69">IF(AND(ISNUMBER(G69),ISNUMBER(H69)),H69-G69,"")</f>
        <v>1</v>
      </c>
      <c r="J69" t="s" s="45">
        <v>302</v>
      </c>
      <c r="K69" s="42"/>
      <c r="L69" s="44"/>
    </row>
    <row r="70" ht="36" customHeight="1">
      <c r="A70" t="s" s="47">
        <v>245</v>
      </c>
      <c r="B70" t="s" s="47">
        <v>246</v>
      </c>
      <c r="C70" t="s" s="29">
        <v>289</v>
      </c>
      <c r="D70" t="s" s="47">
        <v>290</v>
      </c>
      <c r="E70" t="s" s="47">
        <v>303</v>
      </c>
      <c r="F70" t="s" s="17">
        <v>304</v>
      </c>
      <c r="G70" s="50">
        <v>1</v>
      </c>
      <c r="H70" s="51">
        <v>3</v>
      </c>
      <c r="I70" s="42" cm="1">
        <f t="array" ref="I70">IF(AND(ISNUMBER(G70),ISNUMBER(H70)),H70-G70,"")</f>
        <v>2</v>
      </c>
      <c r="J70" t="s" s="45">
        <v>305</v>
      </c>
      <c r="K70" s="42"/>
      <c r="L70" s="44"/>
    </row>
    <row r="71" ht="36" customHeight="1">
      <c r="A71" t="s" s="47">
        <v>245</v>
      </c>
      <c r="B71" t="s" s="47">
        <v>246</v>
      </c>
      <c r="C71" t="s" s="29">
        <v>289</v>
      </c>
      <c r="D71" t="s" s="47">
        <v>290</v>
      </c>
      <c r="E71" t="s" s="47">
        <v>306</v>
      </c>
      <c r="F71" t="s" s="17">
        <v>307</v>
      </c>
      <c r="G71" s="50">
        <v>2</v>
      </c>
      <c r="H71" s="51">
        <v>3</v>
      </c>
      <c r="I71" s="42" cm="1">
        <f t="array" ref="I71">IF(AND(ISNUMBER(G71),ISNUMBER(H71)),H71-G71,"")</f>
        <v>1</v>
      </c>
      <c r="J71" t="s" s="45">
        <v>308</v>
      </c>
      <c r="K71" s="42"/>
      <c r="L71" s="44"/>
    </row>
    <row r="72" ht="36" customHeight="1">
      <c r="A72" t="s" s="47">
        <v>245</v>
      </c>
      <c r="B72" t="s" s="47">
        <v>246</v>
      </c>
      <c r="C72" t="s" s="29">
        <v>309</v>
      </c>
      <c r="D72" t="s" s="47">
        <v>310</v>
      </c>
      <c r="E72" t="s" s="47">
        <v>311</v>
      </c>
      <c r="F72" t="s" s="17">
        <v>312</v>
      </c>
      <c r="G72" s="50">
        <v>2</v>
      </c>
      <c r="H72" s="51">
        <v>3</v>
      </c>
      <c r="I72" s="42" cm="1">
        <f t="array" ref="I72">IF(AND(ISNUMBER(G72),ISNUMBER(H72)),H72-G72,"")</f>
        <v>1</v>
      </c>
      <c r="J72" t="s" s="45">
        <v>313</v>
      </c>
      <c r="K72" s="42"/>
      <c r="L72" s="44"/>
    </row>
    <row r="73" ht="36" customHeight="1">
      <c r="A73" t="s" s="47">
        <v>245</v>
      </c>
      <c r="B73" t="s" s="47">
        <v>246</v>
      </c>
      <c r="C73" t="s" s="29">
        <v>309</v>
      </c>
      <c r="D73" t="s" s="47">
        <v>310</v>
      </c>
      <c r="E73" t="s" s="47">
        <v>314</v>
      </c>
      <c r="F73" t="s" s="17">
        <v>315</v>
      </c>
      <c r="G73" s="50">
        <v>3</v>
      </c>
      <c r="H73" s="51">
        <v>3</v>
      </c>
      <c r="I73" s="42" cm="1">
        <f t="array" ref="I73">IF(AND(ISNUMBER(G73),ISNUMBER(H73)),H73-G73,"")</f>
        <v>0</v>
      </c>
      <c r="J73" t="s" s="45">
        <v>316</v>
      </c>
      <c r="K73" s="42"/>
      <c r="L73" s="44"/>
    </row>
    <row r="74" ht="36" customHeight="1">
      <c r="A74" t="s" s="47">
        <v>245</v>
      </c>
      <c r="B74" t="s" s="47">
        <v>246</v>
      </c>
      <c r="C74" t="s" s="29">
        <v>309</v>
      </c>
      <c r="D74" t="s" s="47">
        <v>310</v>
      </c>
      <c r="E74" t="s" s="47">
        <v>317</v>
      </c>
      <c r="F74" t="s" s="17">
        <v>318</v>
      </c>
      <c r="G74" s="50">
        <v>2</v>
      </c>
      <c r="H74" s="51">
        <v>3</v>
      </c>
      <c r="I74" s="42" cm="1">
        <f t="array" ref="I74">IF(AND(ISNUMBER(G74),ISNUMBER(H74)),H74-G74,"")</f>
        <v>1</v>
      </c>
      <c r="J74" t="s" s="45">
        <v>319</v>
      </c>
      <c r="K74" s="42"/>
      <c r="L74" s="44"/>
    </row>
    <row r="75" ht="36" customHeight="1">
      <c r="A75" t="s" s="47">
        <v>245</v>
      </c>
      <c r="B75" t="s" s="47">
        <v>246</v>
      </c>
      <c r="C75" t="s" s="29">
        <v>309</v>
      </c>
      <c r="D75" t="s" s="47">
        <v>310</v>
      </c>
      <c r="E75" t="s" s="47">
        <v>320</v>
      </c>
      <c r="F75" t="s" s="17">
        <v>321</v>
      </c>
      <c r="G75" s="50">
        <v>2</v>
      </c>
      <c r="H75" s="51">
        <v>3</v>
      </c>
      <c r="I75" s="42" cm="1">
        <f t="array" ref="I75">IF(AND(ISNUMBER(G75),ISNUMBER(H75)),H75-G75,"")</f>
        <v>1</v>
      </c>
      <c r="J75" t="s" s="45">
        <v>322</v>
      </c>
      <c r="K75" s="42"/>
      <c r="L75" s="44"/>
    </row>
    <row r="76" ht="36" customHeight="1">
      <c r="A76" t="s" s="52">
        <v>323</v>
      </c>
      <c r="B76" t="s" s="52">
        <v>324</v>
      </c>
      <c r="C76" t="s" s="26">
        <v>325</v>
      </c>
      <c r="D76" t="s" s="52">
        <v>326</v>
      </c>
      <c r="E76" t="s" s="52">
        <v>327</v>
      </c>
      <c r="F76" t="s" s="17">
        <v>328</v>
      </c>
      <c r="G76" s="50">
        <v>2</v>
      </c>
      <c r="H76" s="51">
        <v>4</v>
      </c>
      <c r="I76" s="42" cm="1">
        <f t="array" ref="I76">IF(AND(ISNUMBER(G76),ISNUMBER(H76)),H76-G76,"")</f>
        <v>2</v>
      </c>
      <c r="J76" t="s" s="45">
        <v>329</v>
      </c>
      <c r="K76" s="42"/>
      <c r="L76" s="44"/>
    </row>
    <row r="77" ht="36" customHeight="1">
      <c r="A77" t="s" s="52">
        <v>323</v>
      </c>
      <c r="B77" t="s" s="52">
        <v>324</v>
      </c>
      <c r="C77" t="s" s="26">
        <v>325</v>
      </c>
      <c r="D77" t="s" s="52">
        <v>326</v>
      </c>
      <c r="E77" t="s" s="52">
        <v>330</v>
      </c>
      <c r="F77" t="s" s="17">
        <v>331</v>
      </c>
      <c r="G77" s="50">
        <v>2</v>
      </c>
      <c r="H77" s="51">
        <v>3</v>
      </c>
      <c r="I77" s="42" cm="1">
        <f t="array" ref="I77">IF(AND(ISNUMBER(G77),ISNUMBER(H77)),H77-G77,"")</f>
        <v>1</v>
      </c>
      <c r="J77" t="s" s="45">
        <v>332</v>
      </c>
      <c r="K77" s="42"/>
      <c r="L77" s="44"/>
    </row>
    <row r="78" ht="36" customHeight="1">
      <c r="A78" t="s" s="52">
        <v>323</v>
      </c>
      <c r="B78" t="s" s="52">
        <v>324</v>
      </c>
      <c r="C78" t="s" s="26">
        <v>325</v>
      </c>
      <c r="D78" t="s" s="52">
        <v>326</v>
      </c>
      <c r="E78" t="s" s="52">
        <v>333</v>
      </c>
      <c r="F78" t="s" s="17">
        <v>334</v>
      </c>
      <c r="G78" s="50">
        <v>1</v>
      </c>
      <c r="H78" s="51">
        <v>3</v>
      </c>
      <c r="I78" s="42" cm="1">
        <f t="array" ref="I78">IF(AND(ISNUMBER(G78),ISNUMBER(H78)),H78-G78,"")</f>
        <v>2</v>
      </c>
      <c r="J78" t="s" s="45">
        <v>335</v>
      </c>
      <c r="K78" s="42"/>
      <c r="L78" s="44"/>
    </row>
    <row r="79" ht="36" customHeight="1">
      <c r="A79" t="s" s="52">
        <v>323</v>
      </c>
      <c r="B79" t="s" s="52">
        <v>324</v>
      </c>
      <c r="C79" t="s" s="26">
        <v>325</v>
      </c>
      <c r="D79" t="s" s="52">
        <v>326</v>
      </c>
      <c r="E79" t="s" s="52">
        <v>336</v>
      </c>
      <c r="F79" t="s" s="17">
        <v>337</v>
      </c>
      <c r="G79" s="50">
        <v>1</v>
      </c>
      <c r="H79" s="51">
        <v>3</v>
      </c>
      <c r="I79" s="42" cm="1">
        <f t="array" ref="I79">IF(AND(ISNUMBER(G79),ISNUMBER(H79)),H79-G79,"")</f>
        <v>2</v>
      </c>
      <c r="J79" t="s" s="45">
        <v>338</v>
      </c>
      <c r="K79" s="42"/>
      <c r="L79" s="44"/>
    </row>
    <row r="80" ht="36" customHeight="1">
      <c r="A80" t="s" s="52">
        <v>323</v>
      </c>
      <c r="B80" t="s" s="52">
        <v>324</v>
      </c>
      <c r="C80" t="s" s="26">
        <v>325</v>
      </c>
      <c r="D80" t="s" s="52">
        <v>326</v>
      </c>
      <c r="E80" t="s" s="52">
        <v>339</v>
      </c>
      <c r="F80" t="s" s="17">
        <v>340</v>
      </c>
      <c r="G80" s="50">
        <v>2</v>
      </c>
      <c r="H80" s="51">
        <v>3</v>
      </c>
      <c r="I80" s="42" cm="1">
        <f t="array" ref="I80">IF(AND(ISNUMBER(G80),ISNUMBER(H80)),H80-G80,"")</f>
        <v>1</v>
      </c>
      <c r="J80" t="s" s="45">
        <v>341</v>
      </c>
      <c r="K80" s="42"/>
      <c r="L80" s="44"/>
    </row>
    <row r="81" ht="36" customHeight="1">
      <c r="A81" t="s" s="52">
        <v>323</v>
      </c>
      <c r="B81" t="s" s="52">
        <v>324</v>
      </c>
      <c r="C81" t="s" s="26">
        <v>342</v>
      </c>
      <c r="D81" t="s" s="52">
        <v>343</v>
      </c>
      <c r="E81" t="s" s="52">
        <v>344</v>
      </c>
      <c r="F81" t="s" s="17">
        <v>345</v>
      </c>
      <c r="G81" s="50">
        <v>1</v>
      </c>
      <c r="H81" s="51">
        <v>3</v>
      </c>
      <c r="I81" s="42" cm="1">
        <f t="array" ref="I81">IF(AND(ISNUMBER(G81),ISNUMBER(H81)),H81-G81,"")</f>
        <v>2</v>
      </c>
      <c r="J81" t="s" s="45">
        <v>346</v>
      </c>
      <c r="K81" s="42"/>
      <c r="L81" s="44"/>
    </row>
    <row r="82" ht="36" customHeight="1">
      <c r="A82" t="s" s="52">
        <v>323</v>
      </c>
      <c r="B82" t="s" s="52">
        <v>324</v>
      </c>
      <c r="C82" t="s" s="26">
        <v>342</v>
      </c>
      <c r="D82" t="s" s="52">
        <v>343</v>
      </c>
      <c r="E82" t="s" s="52">
        <v>347</v>
      </c>
      <c r="F82" t="s" s="17">
        <v>348</v>
      </c>
      <c r="G82" s="50">
        <v>1</v>
      </c>
      <c r="H82" s="51">
        <v>3</v>
      </c>
      <c r="I82" s="42" cm="1">
        <f t="array" ref="I82">IF(AND(ISNUMBER(G82),ISNUMBER(H82)),H82-G82,"")</f>
        <v>2</v>
      </c>
      <c r="J82" t="s" s="45">
        <v>349</v>
      </c>
      <c r="K82" s="42"/>
      <c r="L82" s="44"/>
    </row>
    <row r="83" ht="36" customHeight="1">
      <c r="A83" t="s" s="52">
        <v>323</v>
      </c>
      <c r="B83" t="s" s="52">
        <v>324</v>
      </c>
      <c r="C83" t="s" s="26">
        <v>342</v>
      </c>
      <c r="D83" t="s" s="52">
        <v>343</v>
      </c>
      <c r="E83" t="s" s="52">
        <v>350</v>
      </c>
      <c r="F83" t="s" s="17">
        <v>351</v>
      </c>
      <c r="G83" s="50">
        <v>1</v>
      </c>
      <c r="H83" s="51">
        <v>3</v>
      </c>
      <c r="I83" s="42" cm="1">
        <f t="array" ref="I83">IF(AND(ISNUMBER(G83),ISNUMBER(H83)),H83-G83,"")</f>
        <v>2</v>
      </c>
      <c r="J83" t="s" s="45">
        <v>352</v>
      </c>
      <c r="K83" s="42"/>
      <c r="L83" s="44"/>
    </row>
    <row r="84" ht="36" customHeight="1">
      <c r="A84" t="s" s="52">
        <v>323</v>
      </c>
      <c r="B84" t="s" s="52">
        <v>324</v>
      </c>
      <c r="C84" t="s" s="26">
        <v>342</v>
      </c>
      <c r="D84" t="s" s="52">
        <v>343</v>
      </c>
      <c r="E84" t="s" s="52">
        <v>353</v>
      </c>
      <c r="F84" t="s" s="17">
        <v>354</v>
      </c>
      <c r="G84" s="50">
        <v>2</v>
      </c>
      <c r="H84" s="51">
        <v>3</v>
      </c>
      <c r="I84" s="42" cm="1">
        <f t="array" ref="I84">IF(AND(ISNUMBER(G84),ISNUMBER(H84)),H84-G84,"")</f>
        <v>1</v>
      </c>
      <c r="J84" t="s" s="45">
        <v>355</v>
      </c>
      <c r="K84" s="42"/>
      <c r="L84" s="44"/>
    </row>
    <row r="85" ht="36" customHeight="1">
      <c r="A85" t="s" s="52">
        <v>323</v>
      </c>
      <c r="B85" t="s" s="52">
        <v>324</v>
      </c>
      <c r="C85" t="s" s="26">
        <v>342</v>
      </c>
      <c r="D85" t="s" s="52">
        <v>343</v>
      </c>
      <c r="E85" t="s" s="52">
        <v>356</v>
      </c>
      <c r="F85" t="s" s="17">
        <v>357</v>
      </c>
      <c r="G85" s="50">
        <v>1</v>
      </c>
      <c r="H85" s="51">
        <v>3</v>
      </c>
      <c r="I85" s="42" cm="1">
        <f t="array" ref="I85">IF(AND(ISNUMBER(G85),ISNUMBER(H85)),H85-G85,"")</f>
        <v>2</v>
      </c>
      <c r="J85" t="s" s="45">
        <v>358</v>
      </c>
      <c r="K85" s="42"/>
      <c r="L85" s="44"/>
    </row>
    <row r="86" ht="36" customHeight="1">
      <c r="A86" t="s" s="52">
        <v>323</v>
      </c>
      <c r="B86" t="s" s="52">
        <v>324</v>
      </c>
      <c r="C86" t="s" s="26">
        <v>342</v>
      </c>
      <c r="D86" t="s" s="52">
        <v>343</v>
      </c>
      <c r="E86" t="s" s="52">
        <v>359</v>
      </c>
      <c r="F86" t="s" s="17">
        <v>360</v>
      </c>
      <c r="G86" s="50">
        <v>2</v>
      </c>
      <c r="H86" s="51">
        <v>3</v>
      </c>
      <c r="I86" s="42" cm="1">
        <f t="array" ref="I86">IF(AND(ISNUMBER(G86),ISNUMBER(H86)),H86-G86,"")</f>
        <v>1</v>
      </c>
      <c r="J86" t="s" s="45">
        <v>361</v>
      </c>
      <c r="K86" s="42"/>
      <c r="L86" s="44"/>
    </row>
    <row r="87" ht="36" customHeight="1">
      <c r="A87" t="s" s="53">
        <v>362</v>
      </c>
      <c r="B87" t="s" s="53">
        <v>363</v>
      </c>
      <c r="C87" t="s" s="54">
        <v>364</v>
      </c>
      <c r="D87" t="s" s="53">
        <v>365</v>
      </c>
      <c r="E87" t="s" s="53">
        <v>366</v>
      </c>
      <c r="F87" t="s" s="17">
        <v>367</v>
      </c>
      <c r="G87" s="50">
        <v>2</v>
      </c>
      <c r="H87" s="51">
        <v>4</v>
      </c>
      <c r="I87" s="42" cm="1">
        <f t="array" ref="I87">IF(AND(ISNUMBER(G87),ISNUMBER(H87)),H87-G87,"")</f>
        <v>2</v>
      </c>
      <c r="J87" t="s" s="45">
        <v>368</v>
      </c>
      <c r="K87" s="42"/>
      <c r="L87" s="44"/>
    </row>
    <row r="88" ht="36" customHeight="1">
      <c r="A88" t="s" s="53">
        <v>362</v>
      </c>
      <c r="B88" t="s" s="53">
        <v>363</v>
      </c>
      <c r="C88" t="s" s="54">
        <v>364</v>
      </c>
      <c r="D88" t="s" s="53">
        <v>365</v>
      </c>
      <c r="E88" t="s" s="53">
        <v>369</v>
      </c>
      <c r="F88" t="s" s="17">
        <v>370</v>
      </c>
      <c r="G88" s="50">
        <v>2</v>
      </c>
      <c r="H88" s="51">
        <v>3</v>
      </c>
      <c r="I88" s="42" cm="1">
        <f t="array" ref="I88">IF(AND(ISNUMBER(G88),ISNUMBER(H88)),H88-G88,"")</f>
        <v>1</v>
      </c>
      <c r="J88" t="s" s="45">
        <v>371</v>
      </c>
      <c r="K88" s="42"/>
      <c r="L88" s="44"/>
    </row>
    <row r="89" ht="36" customHeight="1">
      <c r="A89" t="s" s="53">
        <v>362</v>
      </c>
      <c r="B89" t="s" s="53">
        <v>363</v>
      </c>
      <c r="C89" t="s" s="54">
        <v>364</v>
      </c>
      <c r="D89" t="s" s="53">
        <v>365</v>
      </c>
      <c r="E89" t="s" s="53">
        <v>372</v>
      </c>
      <c r="F89" t="s" s="17">
        <v>373</v>
      </c>
      <c r="G89" s="50">
        <v>2</v>
      </c>
      <c r="H89" s="51">
        <v>3</v>
      </c>
      <c r="I89" s="42" cm="1">
        <f t="array" ref="I89">IF(AND(ISNUMBER(G89),ISNUMBER(H89)),H89-G89,"")</f>
        <v>1</v>
      </c>
      <c r="J89" t="s" s="45">
        <v>374</v>
      </c>
      <c r="K89" s="42"/>
      <c r="L89" s="44"/>
    </row>
    <row r="90" ht="36" customHeight="1">
      <c r="A90" t="s" s="53">
        <v>362</v>
      </c>
      <c r="B90" t="s" s="53">
        <v>363</v>
      </c>
      <c r="C90" t="s" s="54">
        <v>364</v>
      </c>
      <c r="D90" t="s" s="53">
        <v>365</v>
      </c>
      <c r="E90" t="s" s="53">
        <v>375</v>
      </c>
      <c r="F90" t="s" s="17">
        <v>376</v>
      </c>
      <c r="G90" s="50">
        <v>2</v>
      </c>
      <c r="H90" s="51">
        <v>3</v>
      </c>
      <c r="I90" s="42" cm="1">
        <f t="array" ref="I90">IF(AND(ISNUMBER(G90),ISNUMBER(H90)),H90-G90,"")</f>
        <v>1</v>
      </c>
      <c r="J90" t="s" s="45">
        <v>377</v>
      </c>
      <c r="K90" s="42"/>
      <c r="L90" s="44"/>
    </row>
    <row r="91" ht="36" customHeight="1">
      <c r="A91" t="s" s="53">
        <v>362</v>
      </c>
      <c r="B91" t="s" s="53">
        <v>363</v>
      </c>
      <c r="C91" t="s" s="54">
        <v>364</v>
      </c>
      <c r="D91" t="s" s="53">
        <v>365</v>
      </c>
      <c r="E91" t="s" s="53">
        <v>378</v>
      </c>
      <c r="F91" t="s" s="17">
        <v>379</v>
      </c>
      <c r="G91" s="50">
        <v>2</v>
      </c>
      <c r="H91" s="51">
        <v>4</v>
      </c>
      <c r="I91" s="42" cm="1">
        <f t="array" ref="I91">IF(AND(ISNUMBER(G91),ISNUMBER(H91)),H91-G91,"")</f>
        <v>2</v>
      </c>
      <c r="J91" t="s" s="45">
        <v>380</v>
      </c>
      <c r="K91" s="42"/>
      <c r="L91" s="44"/>
    </row>
    <row r="92" ht="36" customHeight="1">
      <c r="A92" t="s" s="53">
        <v>362</v>
      </c>
      <c r="B92" t="s" s="53">
        <v>363</v>
      </c>
      <c r="C92" t="s" s="54">
        <v>381</v>
      </c>
      <c r="D92" t="s" s="53">
        <v>382</v>
      </c>
      <c r="E92" t="s" s="53">
        <v>383</v>
      </c>
      <c r="F92" t="s" s="17">
        <v>384</v>
      </c>
      <c r="G92" s="50">
        <v>1</v>
      </c>
      <c r="H92" s="51">
        <v>3</v>
      </c>
      <c r="I92" s="42" cm="1">
        <f t="array" ref="I92">IF(AND(ISNUMBER(G92),ISNUMBER(H92)),H92-G92,"")</f>
        <v>2</v>
      </c>
      <c r="J92" t="s" s="45">
        <v>385</v>
      </c>
      <c r="K92" s="42"/>
      <c r="L92" s="44"/>
    </row>
    <row r="93" ht="36" customHeight="1">
      <c r="A93" t="s" s="53">
        <v>362</v>
      </c>
      <c r="B93" t="s" s="53">
        <v>363</v>
      </c>
      <c r="C93" t="s" s="54">
        <v>381</v>
      </c>
      <c r="D93" t="s" s="53">
        <v>382</v>
      </c>
      <c r="E93" t="s" s="53">
        <v>386</v>
      </c>
      <c r="F93" t="s" s="17">
        <v>387</v>
      </c>
      <c r="G93" s="50">
        <v>1</v>
      </c>
      <c r="H93" s="51">
        <v>3</v>
      </c>
      <c r="I93" s="42" cm="1">
        <f t="array" ref="I93">IF(AND(ISNUMBER(G93),ISNUMBER(H93)),H93-G93,"")</f>
        <v>2</v>
      </c>
      <c r="J93" t="s" s="45">
        <v>388</v>
      </c>
      <c r="K93" s="42"/>
      <c r="L93" s="44"/>
    </row>
    <row r="94" ht="36" customHeight="1">
      <c r="A94" t="s" s="53">
        <v>362</v>
      </c>
      <c r="B94" t="s" s="53">
        <v>363</v>
      </c>
      <c r="C94" t="s" s="54">
        <v>381</v>
      </c>
      <c r="D94" t="s" s="53">
        <v>382</v>
      </c>
      <c r="E94" t="s" s="53">
        <v>389</v>
      </c>
      <c r="F94" t="s" s="17">
        <v>390</v>
      </c>
      <c r="G94" s="50">
        <v>1</v>
      </c>
      <c r="H94" s="51">
        <v>3</v>
      </c>
      <c r="I94" s="42" cm="1">
        <f t="array" ref="I94">IF(AND(ISNUMBER(G94),ISNUMBER(H94)),H94-G94,"")</f>
        <v>2</v>
      </c>
      <c r="J94" t="s" s="45">
        <v>391</v>
      </c>
      <c r="K94" s="42"/>
      <c r="L94" s="44"/>
    </row>
    <row r="95" ht="36" customHeight="1">
      <c r="A95" t="s" s="53">
        <v>362</v>
      </c>
      <c r="B95" t="s" s="53">
        <v>363</v>
      </c>
      <c r="C95" t="s" s="54">
        <v>381</v>
      </c>
      <c r="D95" t="s" s="53">
        <v>382</v>
      </c>
      <c r="E95" t="s" s="53">
        <v>392</v>
      </c>
      <c r="F95" t="s" s="17">
        <v>393</v>
      </c>
      <c r="G95" s="50">
        <v>1</v>
      </c>
      <c r="H95" s="51">
        <v>3</v>
      </c>
      <c r="I95" s="42" cm="1">
        <f t="array" ref="I95">IF(AND(ISNUMBER(G95),ISNUMBER(H95)),H95-G95,"")</f>
        <v>2</v>
      </c>
      <c r="J95" t="s" s="45">
        <v>394</v>
      </c>
      <c r="K95" s="42"/>
      <c r="L95" s="44"/>
    </row>
    <row r="96" ht="36" customHeight="1">
      <c r="A96" t="s" s="53">
        <v>362</v>
      </c>
      <c r="B96" t="s" s="53">
        <v>363</v>
      </c>
      <c r="C96" t="s" s="54">
        <v>395</v>
      </c>
      <c r="D96" t="s" s="53">
        <v>396</v>
      </c>
      <c r="E96" t="s" s="53">
        <v>397</v>
      </c>
      <c r="F96" t="s" s="17">
        <v>398</v>
      </c>
      <c r="G96" s="50">
        <v>2</v>
      </c>
      <c r="H96" s="51">
        <v>3</v>
      </c>
      <c r="I96" s="42" cm="1">
        <f t="array" ref="I96">IF(AND(ISNUMBER(G96),ISNUMBER(H96)),H96-G96,"")</f>
        <v>1</v>
      </c>
      <c r="J96" t="s" s="45">
        <v>399</v>
      </c>
      <c r="K96" s="42"/>
      <c r="L96" s="44"/>
    </row>
    <row r="97" ht="36" customHeight="1">
      <c r="A97" t="s" s="53">
        <v>362</v>
      </c>
      <c r="B97" t="s" s="53">
        <v>363</v>
      </c>
      <c r="C97" t="s" s="54">
        <v>395</v>
      </c>
      <c r="D97" t="s" s="53">
        <v>396</v>
      </c>
      <c r="E97" t="s" s="53">
        <v>400</v>
      </c>
      <c r="F97" t="s" s="17">
        <v>401</v>
      </c>
      <c r="G97" s="50">
        <v>2</v>
      </c>
      <c r="H97" s="51">
        <v>3</v>
      </c>
      <c r="I97" s="42" cm="1">
        <f t="array" ref="I97">IF(AND(ISNUMBER(G97),ISNUMBER(H97)),H97-G97,"")</f>
        <v>1</v>
      </c>
      <c r="J97" t="s" s="45">
        <v>402</v>
      </c>
      <c r="K97" s="42"/>
      <c r="L97" s="44"/>
    </row>
    <row r="98" ht="36" customHeight="1">
      <c r="A98" t="s" s="53">
        <v>362</v>
      </c>
      <c r="B98" t="s" s="53">
        <v>363</v>
      </c>
      <c r="C98" t="s" s="54">
        <v>403</v>
      </c>
      <c r="D98" t="s" s="53">
        <v>404</v>
      </c>
      <c r="E98" t="s" s="53">
        <v>405</v>
      </c>
      <c r="F98" t="s" s="17">
        <v>406</v>
      </c>
      <c r="G98" s="50">
        <v>2</v>
      </c>
      <c r="H98" s="51">
        <v>3</v>
      </c>
      <c r="I98" s="42" cm="1">
        <f t="array" ref="I98">IF(AND(ISNUMBER(G98),ISNUMBER(H98)),H98-G98,"")</f>
        <v>1</v>
      </c>
      <c r="J98" t="s" s="45">
        <v>407</v>
      </c>
      <c r="K98" s="42"/>
      <c r="L98" s="44"/>
    </row>
    <row r="99" ht="36" customHeight="1">
      <c r="A99" t="s" s="53">
        <v>362</v>
      </c>
      <c r="B99" t="s" s="53">
        <v>363</v>
      </c>
      <c r="C99" t="s" s="54">
        <v>403</v>
      </c>
      <c r="D99" t="s" s="53">
        <v>404</v>
      </c>
      <c r="E99" t="s" s="53">
        <v>408</v>
      </c>
      <c r="F99" t="s" s="17">
        <v>409</v>
      </c>
      <c r="G99" s="50">
        <v>2</v>
      </c>
      <c r="H99" s="51">
        <v>3</v>
      </c>
      <c r="I99" s="42" cm="1">
        <f t="array" ref="I99">IF(AND(ISNUMBER(G99),ISNUMBER(H99)),H99-G99,"")</f>
        <v>1</v>
      </c>
      <c r="J99" t="s" s="45">
        <v>410</v>
      </c>
      <c r="K99" s="42"/>
      <c r="L99" s="44"/>
    </row>
    <row r="100" ht="36" customHeight="1">
      <c r="A100" t="s" s="55">
        <v>411</v>
      </c>
      <c r="B100" t="s" s="55">
        <v>412</v>
      </c>
      <c r="C100" t="s" s="56">
        <v>413</v>
      </c>
      <c r="D100" t="s" s="55">
        <v>414</v>
      </c>
      <c r="E100" t="s" s="55">
        <v>415</v>
      </c>
      <c r="F100" t="s" s="17">
        <v>416</v>
      </c>
      <c r="G100" s="50">
        <v>2</v>
      </c>
      <c r="H100" s="51">
        <v>3</v>
      </c>
      <c r="I100" s="42" cm="1">
        <f t="array" ref="I100">IF(AND(ISNUMBER(G100),ISNUMBER(H100)),H100-G100,"")</f>
        <v>1</v>
      </c>
      <c r="J100" t="s" s="45">
        <v>417</v>
      </c>
      <c r="K100" s="42"/>
      <c r="L100" s="44"/>
    </row>
    <row r="101" ht="36" customHeight="1">
      <c r="A101" t="s" s="55">
        <v>411</v>
      </c>
      <c r="B101" t="s" s="55">
        <v>412</v>
      </c>
      <c r="C101" t="s" s="56">
        <v>413</v>
      </c>
      <c r="D101" t="s" s="55">
        <v>414</v>
      </c>
      <c r="E101" t="s" s="55">
        <v>418</v>
      </c>
      <c r="F101" t="s" s="17">
        <v>419</v>
      </c>
      <c r="G101" s="50">
        <v>2</v>
      </c>
      <c r="H101" s="51">
        <v>3</v>
      </c>
      <c r="I101" s="42" cm="1">
        <f t="array" ref="I101">IF(AND(ISNUMBER(G101),ISNUMBER(H101)),H101-G101,"")</f>
        <v>1</v>
      </c>
      <c r="J101" t="s" s="45">
        <v>420</v>
      </c>
      <c r="K101" s="42"/>
      <c r="L101" s="44"/>
    </row>
    <row r="102" ht="36" customHeight="1">
      <c r="A102" t="s" s="55">
        <v>411</v>
      </c>
      <c r="B102" t="s" s="55">
        <v>412</v>
      </c>
      <c r="C102" t="s" s="56">
        <v>413</v>
      </c>
      <c r="D102" t="s" s="55">
        <v>414</v>
      </c>
      <c r="E102" t="s" s="55">
        <v>421</v>
      </c>
      <c r="F102" t="s" s="17">
        <v>422</v>
      </c>
      <c r="G102" s="50">
        <v>2</v>
      </c>
      <c r="H102" s="51">
        <v>3</v>
      </c>
      <c r="I102" s="42" cm="1">
        <f t="array" ref="I102">IF(AND(ISNUMBER(G102),ISNUMBER(H102)),H102-G102,"")</f>
        <v>1</v>
      </c>
      <c r="J102" t="s" s="45">
        <v>423</v>
      </c>
      <c r="K102" s="42"/>
      <c r="L102" s="44"/>
    </row>
    <row r="103" ht="36" customHeight="1">
      <c r="A103" t="s" s="55">
        <v>411</v>
      </c>
      <c r="B103" t="s" s="55">
        <v>412</v>
      </c>
      <c r="C103" t="s" s="56">
        <v>413</v>
      </c>
      <c r="D103" t="s" s="55">
        <v>414</v>
      </c>
      <c r="E103" t="s" s="55">
        <v>424</v>
      </c>
      <c r="F103" t="s" s="17">
        <v>425</v>
      </c>
      <c r="G103" s="50">
        <v>1</v>
      </c>
      <c r="H103" s="51">
        <v>3</v>
      </c>
      <c r="I103" s="42" cm="1">
        <f t="array" ref="I103">IF(AND(ISNUMBER(G103),ISNUMBER(H103)),H103-G103,"")</f>
        <v>2</v>
      </c>
      <c r="J103" t="s" s="45">
        <v>426</v>
      </c>
      <c r="K103" s="42"/>
      <c r="L103" s="44"/>
    </row>
    <row r="104" ht="36" customHeight="1">
      <c r="A104" t="s" s="55">
        <v>411</v>
      </c>
      <c r="B104" t="s" s="55">
        <v>412</v>
      </c>
      <c r="C104" t="s" s="56">
        <v>413</v>
      </c>
      <c r="D104" t="s" s="55">
        <v>414</v>
      </c>
      <c r="E104" t="s" s="55">
        <v>427</v>
      </c>
      <c r="F104" t="s" s="17">
        <v>428</v>
      </c>
      <c r="G104" s="50">
        <v>1</v>
      </c>
      <c r="H104" s="51">
        <v>3</v>
      </c>
      <c r="I104" s="42" cm="1">
        <f t="array" ref="I104">IF(AND(ISNUMBER(G104),ISNUMBER(H104)),H104-G104,"")</f>
        <v>2</v>
      </c>
      <c r="J104" t="s" s="45">
        <v>429</v>
      </c>
      <c r="K104" s="42"/>
      <c r="L104" s="44"/>
    </row>
    <row r="105" ht="36" customHeight="1">
      <c r="A105" t="s" s="55">
        <v>411</v>
      </c>
      <c r="B105" t="s" s="55">
        <v>412</v>
      </c>
      <c r="C105" t="s" s="56">
        <v>413</v>
      </c>
      <c r="D105" t="s" s="55">
        <v>414</v>
      </c>
      <c r="E105" t="s" s="55">
        <v>430</v>
      </c>
      <c r="F105" t="s" s="17">
        <v>431</v>
      </c>
      <c r="G105" s="50">
        <v>1</v>
      </c>
      <c r="H105" s="51">
        <v>3</v>
      </c>
      <c r="I105" s="42" cm="1">
        <f t="array" ref="I105">IF(AND(ISNUMBER(G105),ISNUMBER(H105)),H105-G105,"")</f>
        <v>2</v>
      </c>
      <c r="J105" t="s" s="45">
        <v>432</v>
      </c>
      <c r="K105" s="42"/>
      <c r="L105" s="44"/>
    </row>
    <row r="106" ht="36" customHeight="1">
      <c r="A106" t="s" s="55">
        <v>411</v>
      </c>
      <c r="B106" t="s" s="55">
        <v>412</v>
      </c>
      <c r="C106" t="s" s="56">
        <v>433</v>
      </c>
      <c r="D106" t="s" s="55">
        <v>434</v>
      </c>
      <c r="E106" t="s" s="55">
        <v>435</v>
      </c>
      <c r="F106" t="s" s="17">
        <v>436</v>
      </c>
      <c r="G106" s="50">
        <v>2</v>
      </c>
      <c r="H106" s="51">
        <v>3</v>
      </c>
      <c r="I106" s="42" cm="1">
        <f t="array" ref="I106">IF(AND(ISNUMBER(G106),ISNUMBER(H106)),H106-G106,"")</f>
        <v>1</v>
      </c>
      <c r="J106" t="s" s="45">
        <v>437</v>
      </c>
      <c r="K106" s="42"/>
      <c r="L106" s="44"/>
    </row>
    <row r="107" ht="36" customHeight="1">
      <c r="A107" t="s" s="55">
        <v>411</v>
      </c>
      <c r="B107" t="s" s="55">
        <v>412</v>
      </c>
      <c r="C107" t="s" s="56">
        <v>433</v>
      </c>
      <c r="D107" t="s" s="55">
        <v>434</v>
      </c>
      <c r="E107" t="s" s="55">
        <v>438</v>
      </c>
      <c r="F107" t="s" s="17">
        <v>439</v>
      </c>
      <c r="G107" s="50">
        <v>1</v>
      </c>
      <c r="H107" s="51">
        <v>3</v>
      </c>
      <c r="I107" s="42" cm="1">
        <f t="array" ref="I107">IF(AND(ISNUMBER(G107),ISNUMBER(H107)),H107-G107,"")</f>
        <v>2</v>
      </c>
      <c r="J107" t="s" s="45">
        <v>440</v>
      </c>
      <c r="K107" s="42"/>
      <c r="L107" s="44"/>
    </row>
  </sheetData>
  <conditionalFormatting sqref="G2:G107">
    <cfRule type="cellIs" dxfId="0" priority="1" operator="equal" stopIfTrue="1">
      <formula>1</formula>
    </cfRule>
    <cfRule type="cellIs" dxfId="1" priority="2" operator="equal" stopIfTrue="1">
      <formula>2</formula>
    </cfRule>
    <cfRule type="cellIs" dxfId="2" priority="3" operator="equal" stopIfTrue="1">
      <formula>3</formula>
    </cfRule>
    <cfRule type="cellIs" dxfId="3" priority="4" operator="equal" stopIfTrue="1">
      <formula>4</formula>
    </cfRule>
  </conditionalFormatting>
  <conditionalFormatting sqref="I2:I107">
    <cfRule type="cellIs" dxfId="4" priority="1" operator="greaterThanOrEqual" stopIfTrue="1">
      <formula>3</formula>
    </cfRule>
    <cfRule type="cellIs" dxfId="5" priority="2" operator="equal" stopIfTrue="1">
      <formula>2</formula>
    </cfRule>
    <cfRule type="cellIs" dxfId="6" priority="3" operator="equal" stopIfTrue="1">
      <formula>1</formula>
    </cfRule>
    <cfRule type="cellIs" dxfId="7" priority="4" operator="lessThanOrEqual" stopIfTrue="1">
      <formula>0</formula>
    </cfRule>
  </conditionalFormatting>
  <dataValidations count="2">
    <dataValidation type="list" allowBlank="1" showInputMessage="1" showErrorMessage="1" sqref="G2:H53">
      <formula1>"1,2,3,4"</formula1>
    </dataValidation>
    <dataValidation type="list" allowBlank="1" showInputMessage="1" showErrorMessage="1" sqref="L2:L107">
      <formula1>"Not Started,In Progress,Scored,Validated"</formula1>
    </dataValidation>
  </dataValidations>
  <hyperlinks>
    <hyperlink ref="J6" r:id="rId1" location="" tooltip="" display="bill.com"/>
    <hyperlink ref="J26" r:id="rId2" location="" tooltip="" display="bill.com"/>
    <hyperlink ref="J48" r:id="rId3" location="" tooltip="" display="bill.com"/>
  </hyperlink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M11"/>
  <sheetViews>
    <sheetView workbookViewId="0" showGridLines="0" defaultGridColor="1"/>
  </sheetViews>
  <sheetFormatPr defaultColWidth="8.66667" defaultRowHeight="15" customHeight="1" outlineLevelRow="0" outlineLevelCol="0"/>
  <cols>
    <col min="1" max="1" width="10" style="57" customWidth="1"/>
    <col min="2" max="2" width="35" style="57" customWidth="1"/>
    <col min="3" max="3" width="11" style="57" customWidth="1"/>
    <col min="4" max="4" width="18" style="57" customWidth="1"/>
    <col min="5" max="7" width="35" style="57" customWidth="1"/>
    <col min="8" max="8" width="10" style="57" customWidth="1"/>
    <col min="9" max="9" width="11" style="57" customWidth="1"/>
    <col min="10" max="11" width="10" style="57" customWidth="1"/>
    <col min="12" max="12" width="18" style="57" customWidth="1"/>
    <col min="13" max="13" width="12" style="57" customWidth="1"/>
    <col min="14" max="16384" width="8.67188" style="57" customWidth="1"/>
  </cols>
  <sheetData>
    <row r="1" ht="30" customHeight="1">
      <c r="A1" t="s" s="58">
        <v>65</v>
      </c>
      <c r="B1" t="s" s="58">
        <v>442</v>
      </c>
      <c r="C1" t="s" s="58">
        <v>55</v>
      </c>
      <c r="D1" t="s" s="58">
        <v>443</v>
      </c>
      <c r="E1" t="s" s="58">
        <v>444</v>
      </c>
      <c r="F1" t="s" s="58">
        <v>445</v>
      </c>
      <c r="G1" t="s" s="58">
        <v>446</v>
      </c>
      <c r="H1" t="s" s="58">
        <v>447</v>
      </c>
      <c r="I1" t="s" s="58">
        <v>448</v>
      </c>
      <c r="J1" t="s" s="58">
        <v>449</v>
      </c>
      <c r="K1" t="s" s="58">
        <v>450</v>
      </c>
      <c r="L1" t="s" s="58">
        <v>451</v>
      </c>
      <c r="M1" t="s" s="58">
        <v>66</v>
      </c>
    </row>
    <row r="2" ht="90" customHeight="1">
      <c r="A2" t="s" s="59">
        <v>452</v>
      </c>
      <c r="B2" t="s" s="60">
        <v>453</v>
      </c>
      <c r="C2" t="s" s="59">
        <v>245</v>
      </c>
      <c r="D2" t="s" s="60">
        <v>280</v>
      </c>
      <c r="E2" t="s" s="60">
        <v>454</v>
      </c>
      <c r="F2" t="s" s="60">
        <v>455</v>
      </c>
      <c r="G2" t="s" s="60">
        <v>456</v>
      </c>
      <c r="H2" s="61">
        <v>5</v>
      </c>
      <c r="I2" t="s" s="62">
        <v>457</v>
      </c>
      <c r="J2" t="s" s="59">
        <v>458</v>
      </c>
      <c r="K2" t="s" s="59">
        <v>459</v>
      </c>
      <c r="L2" t="s" s="60">
        <v>460</v>
      </c>
      <c r="M2" t="s" s="63">
        <v>461</v>
      </c>
    </row>
    <row r="3" ht="90" customHeight="1">
      <c r="A3" t="s" s="59">
        <v>462</v>
      </c>
      <c r="B3" t="s" s="60">
        <v>463</v>
      </c>
      <c r="C3" t="s" s="59">
        <v>245</v>
      </c>
      <c r="D3" t="s" s="60">
        <v>261</v>
      </c>
      <c r="E3" t="s" s="60">
        <v>464</v>
      </c>
      <c r="F3" t="s" s="60">
        <v>465</v>
      </c>
      <c r="G3" t="s" s="60">
        <v>466</v>
      </c>
      <c r="H3" s="61">
        <v>5</v>
      </c>
      <c r="I3" t="s" s="64">
        <v>467</v>
      </c>
      <c r="J3" t="s" s="59">
        <v>458</v>
      </c>
      <c r="K3" t="s" s="59">
        <v>459</v>
      </c>
      <c r="L3" t="s" s="60">
        <v>468</v>
      </c>
      <c r="M3" t="s" s="63">
        <v>461</v>
      </c>
    </row>
    <row r="4" ht="52.7" customHeight="1">
      <c r="A4" t="s" s="65">
        <v>469</v>
      </c>
      <c r="B4" t="s" s="66">
        <v>470</v>
      </c>
      <c r="C4" t="s" s="65">
        <v>362</v>
      </c>
      <c r="D4" t="s" s="66">
        <v>366</v>
      </c>
      <c r="E4" t="s" s="66">
        <v>471</v>
      </c>
      <c r="F4" t="s" s="66">
        <v>472</v>
      </c>
      <c r="G4" t="s" s="66">
        <v>473</v>
      </c>
      <c r="H4" s="61">
        <v>5</v>
      </c>
      <c r="I4" t="s" s="67">
        <v>474</v>
      </c>
      <c r="J4" t="s" s="65">
        <v>458</v>
      </c>
      <c r="K4" t="s" s="65">
        <v>459</v>
      </c>
      <c r="L4" t="s" s="66">
        <v>475</v>
      </c>
      <c r="M4" t="s" s="63">
        <v>461</v>
      </c>
    </row>
    <row r="5" ht="52.7" customHeight="1">
      <c r="A5" t="s" s="59">
        <v>476</v>
      </c>
      <c r="B5" t="s" s="60">
        <v>477</v>
      </c>
      <c r="C5" t="s" s="59">
        <v>245</v>
      </c>
      <c r="D5" t="s" s="60">
        <v>277</v>
      </c>
      <c r="E5" t="s" s="60">
        <v>478</v>
      </c>
      <c r="F5" t="s" s="60">
        <v>479</v>
      </c>
      <c r="G5" t="s" s="60">
        <v>480</v>
      </c>
      <c r="H5" s="61">
        <v>5</v>
      </c>
      <c r="I5" t="s" s="67">
        <v>474</v>
      </c>
      <c r="J5" t="s" s="59">
        <v>458</v>
      </c>
      <c r="K5" t="s" s="59">
        <v>459</v>
      </c>
      <c r="L5" t="s" s="60">
        <v>481</v>
      </c>
      <c r="M5" t="s" s="63">
        <v>461</v>
      </c>
    </row>
    <row r="6" ht="62.7" customHeight="1">
      <c r="A6" t="s" s="59">
        <v>482</v>
      </c>
      <c r="B6" t="s" s="60">
        <v>483</v>
      </c>
      <c r="C6" t="s" s="59">
        <v>245</v>
      </c>
      <c r="D6" t="s" s="60">
        <v>484</v>
      </c>
      <c r="E6" t="s" s="60">
        <v>485</v>
      </c>
      <c r="F6" t="s" s="60">
        <v>486</v>
      </c>
      <c r="G6" t="s" s="60">
        <v>487</v>
      </c>
      <c r="H6" s="68">
        <v>4</v>
      </c>
      <c r="I6" t="s" s="67">
        <v>474</v>
      </c>
      <c r="J6" t="s" s="59">
        <v>458</v>
      </c>
      <c r="K6" t="s" s="59">
        <v>459</v>
      </c>
      <c r="L6" t="s" s="60">
        <v>460</v>
      </c>
      <c r="M6" t="s" s="63">
        <v>461</v>
      </c>
    </row>
    <row r="7" ht="52.7" customHeight="1">
      <c r="A7" t="s" s="69">
        <v>488</v>
      </c>
      <c r="B7" t="s" s="70">
        <v>489</v>
      </c>
      <c r="C7" t="s" s="69">
        <v>323</v>
      </c>
      <c r="D7" t="s" s="70">
        <v>490</v>
      </c>
      <c r="E7" t="s" s="70">
        <v>491</v>
      </c>
      <c r="F7" t="s" s="70">
        <v>492</v>
      </c>
      <c r="G7" t="s" s="70">
        <v>493</v>
      </c>
      <c r="H7" s="68">
        <v>4</v>
      </c>
      <c r="I7" t="s" s="71">
        <v>494</v>
      </c>
      <c r="J7" t="s" s="69">
        <v>458</v>
      </c>
      <c r="K7" t="s" s="69">
        <v>495</v>
      </c>
      <c r="L7" t="s" s="70">
        <v>496</v>
      </c>
      <c r="M7" t="s" s="63">
        <v>461</v>
      </c>
    </row>
    <row r="8" ht="52.7" customHeight="1">
      <c r="A8" t="s" s="69">
        <v>497</v>
      </c>
      <c r="B8" t="s" s="70">
        <v>498</v>
      </c>
      <c r="C8" t="s" s="69">
        <v>323</v>
      </c>
      <c r="D8" t="s" s="70">
        <v>333</v>
      </c>
      <c r="E8" t="s" s="70">
        <v>499</v>
      </c>
      <c r="F8" t="s" s="70">
        <v>500</v>
      </c>
      <c r="G8" t="s" s="70">
        <v>501</v>
      </c>
      <c r="H8" s="68">
        <v>4</v>
      </c>
      <c r="I8" t="s" s="67">
        <v>474</v>
      </c>
      <c r="J8" t="s" s="69">
        <v>458</v>
      </c>
      <c r="K8" t="s" s="69">
        <v>495</v>
      </c>
      <c r="L8" t="s" s="70">
        <v>502</v>
      </c>
      <c r="M8" t="s" s="63">
        <v>461</v>
      </c>
    </row>
    <row r="9" ht="52.7" customHeight="1">
      <c r="A9" t="s" s="72">
        <v>503</v>
      </c>
      <c r="B9" t="s" s="73">
        <v>504</v>
      </c>
      <c r="C9" t="s" s="72">
        <v>411</v>
      </c>
      <c r="D9" t="s" s="73">
        <v>505</v>
      </c>
      <c r="E9" t="s" s="73">
        <v>506</v>
      </c>
      <c r="F9" t="s" s="73">
        <v>507</v>
      </c>
      <c r="G9" t="s" s="73">
        <v>508</v>
      </c>
      <c r="H9" s="68">
        <v>4</v>
      </c>
      <c r="I9" t="s" s="67">
        <v>474</v>
      </c>
      <c r="J9" t="s" s="72">
        <v>509</v>
      </c>
      <c r="K9" t="s" s="72">
        <v>495</v>
      </c>
      <c r="L9" t="s" s="73">
        <v>510</v>
      </c>
      <c r="M9" t="s" s="63">
        <v>461</v>
      </c>
    </row>
    <row r="10" ht="52.7" customHeight="1">
      <c r="A10" t="s" s="65">
        <v>511</v>
      </c>
      <c r="B10" t="s" s="66">
        <v>512</v>
      </c>
      <c r="C10" t="s" s="65">
        <v>362</v>
      </c>
      <c r="D10" t="s" s="66">
        <v>513</v>
      </c>
      <c r="E10" t="s" s="66">
        <v>514</v>
      </c>
      <c r="F10" t="s" s="66">
        <v>515</v>
      </c>
      <c r="G10" t="s" s="66">
        <v>516</v>
      </c>
      <c r="H10" s="74">
        <v>3</v>
      </c>
      <c r="I10" t="s" s="62">
        <v>457</v>
      </c>
      <c r="J10" t="s" s="65">
        <v>509</v>
      </c>
      <c r="K10" t="s" s="65">
        <v>495</v>
      </c>
      <c r="L10" t="s" s="66">
        <v>475</v>
      </c>
      <c r="M10" t="s" s="63">
        <v>461</v>
      </c>
    </row>
    <row r="11" ht="62.7" customHeight="1">
      <c r="A11" t="s" s="72">
        <v>517</v>
      </c>
      <c r="B11" t="s" s="73">
        <v>518</v>
      </c>
      <c r="C11" t="s" s="72">
        <v>411</v>
      </c>
      <c r="D11" t="s" s="73">
        <v>519</v>
      </c>
      <c r="E11" t="s" s="73">
        <v>520</v>
      </c>
      <c r="F11" t="s" s="73">
        <v>521</v>
      </c>
      <c r="G11" t="s" s="73">
        <v>522</v>
      </c>
      <c r="H11" s="74">
        <v>3</v>
      </c>
      <c r="I11" t="s" s="62">
        <v>457</v>
      </c>
      <c r="J11" t="s" s="72">
        <v>509</v>
      </c>
      <c r="K11" t="s" s="72">
        <v>523</v>
      </c>
      <c r="L11" t="s" s="73">
        <v>524</v>
      </c>
      <c r="M11" t="s" s="63">
        <v>461</v>
      </c>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H27"/>
  <sheetViews>
    <sheetView workbookViewId="0" showGridLines="0" defaultGridColor="1"/>
  </sheetViews>
  <sheetFormatPr defaultColWidth="8.66667" defaultRowHeight="15" customHeight="1" outlineLevelRow="0" outlineLevelCol="0"/>
  <cols>
    <col min="1" max="1" width="4" style="75" customWidth="1"/>
    <col min="2" max="2" width="14" style="75" customWidth="1"/>
    <col min="3" max="3" width="28" style="75" customWidth="1"/>
    <col min="4" max="6" width="12" style="75" customWidth="1"/>
    <col min="7" max="7" width="13" style="75" customWidth="1"/>
    <col min="8" max="8" width="50" style="75" customWidth="1"/>
    <col min="9" max="16384" width="8.67188" style="75" customWidth="1"/>
  </cols>
  <sheetData>
    <row r="1" ht="13.55" customHeight="1">
      <c r="A1" s="7"/>
      <c r="B1" s="7"/>
      <c r="C1" s="7"/>
      <c r="D1" s="7"/>
      <c r="E1" s="7"/>
      <c r="F1" s="7"/>
      <c r="G1" s="7"/>
      <c r="H1" s="7"/>
    </row>
    <row r="2" ht="27.75" customHeight="1">
      <c r="A2" s="7"/>
      <c r="B2" t="s" s="9">
        <v>526</v>
      </c>
      <c r="C2" s="21"/>
      <c r="D2" s="21"/>
      <c r="E2" s="21"/>
      <c r="F2" s="21"/>
      <c r="G2" s="21"/>
      <c r="H2" s="21"/>
    </row>
    <row r="3" ht="13.55" customHeight="1">
      <c r="A3" s="7"/>
      <c r="B3" t="s" s="10">
        <v>527</v>
      </c>
      <c r="C3" s="76"/>
      <c r="D3" s="76"/>
      <c r="E3" s="76"/>
      <c r="F3" s="76"/>
      <c r="G3" s="76"/>
      <c r="H3" s="76"/>
    </row>
    <row r="4" ht="13.55" customHeight="1">
      <c r="A4" s="7"/>
      <c r="B4" s="7"/>
      <c r="C4" s="7"/>
      <c r="D4" s="7"/>
      <c r="E4" s="7"/>
      <c r="F4" s="7"/>
      <c r="G4" s="7"/>
      <c r="H4" s="7"/>
    </row>
    <row r="5" ht="17.55" customHeight="1">
      <c r="A5" s="7"/>
      <c r="B5" t="s" s="77">
        <v>528</v>
      </c>
      <c r="C5" s="78"/>
      <c r="D5" s="78"/>
      <c r="E5" s="78"/>
      <c r="F5" s="78"/>
      <c r="G5" s="78"/>
      <c r="H5" s="78"/>
    </row>
    <row r="6" ht="24" customHeight="1">
      <c r="A6" s="79"/>
      <c r="B6" t="s" s="39">
        <v>56</v>
      </c>
      <c r="C6" t="s" s="39">
        <v>55</v>
      </c>
      <c r="D6" t="s" s="39">
        <v>529</v>
      </c>
      <c r="E6" t="s" s="39">
        <v>530</v>
      </c>
      <c r="F6" t="s" s="39">
        <v>531</v>
      </c>
      <c r="G6" t="s" s="39">
        <v>532</v>
      </c>
      <c r="H6" t="s" s="39">
        <v>533</v>
      </c>
    </row>
    <row r="7" ht="25.5" customHeight="1">
      <c r="A7" s="14"/>
      <c r="B7" t="s" s="80">
        <v>68</v>
      </c>
      <c r="C7" t="s" s="17">
        <v>67</v>
      </c>
      <c r="D7" s="81" cm="1">
        <f t="array" ref="D7">_xlfn.IFERROR(_xlfn.AVERAGEIF('CSF Scoring'!B1:B107,"GV",'CSF Scoring'!G1:G107),"")</f>
        <v>1.54838709677419</v>
      </c>
      <c r="E7" s="81" cm="1">
        <f t="array" ref="E7">_xlfn.IFERROR(_xlfn.AVERAGEIF('CSF Scoring'!B1:B107,"GV",'CSF Scoring'!H1:H107),"")</f>
        <v>2.96774193548387</v>
      </c>
      <c r="F7" s="81" cm="1">
        <f t="array" ref="F7">_xlfn.IFERROR(_xlfn.AVERAGEIF('CSF Scoring'!B1:B107,"GV",'CSF Scoring'!I1:I107),"")</f>
        <v>1.41935483870968</v>
      </c>
      <c r="G7" s="82" cm="1">
        <f t="array" ref="G7">_xlfn.COUNTIFS('CSF Scoring'!B1:B107,"GV",'CSF Scoring'!G1:G107,"&gt;0")/COUNTIF('CSF Scoring'!B1:B107,"GV")</f>
        <v>1</v>
      </c>
      <c r="H7" t="s" s="83">
        <v>534</v>
      </c>
    </row>
    <row r="8" ht="25.5" customHeight="1">
      <c r="A8" s="14"/>
      <c r="B8" t="s" s="84">
        <v>175</v>
      </c>
      <c r="C8" t="s" s="17">
        <v>174</v>
      </c>
      <c r="D8" s="81" cm="1">
        <f t="array" ref="D8">_xlfn.IFERROR(_xlfn.AVERAGEIF('CSF Scoring'!B1:B107,"ID",'CSF Scoring'!G1:G107),"")</f>
        <v>1.66666666666667</v>
      </c>
      <c r="E8" s="81" cm="1">
        <f t="array" ref="E8">_xlfn.IFERROR(_xlfn.AVERAGEIF('CSF Scoring'!B1:B107,"ID",'CSF Scoring'!H1:H107),"")</f>
        <v>2.85714285714286</v>
      </c>
      <c r="F8" s="81" cm="1">
        <f t="array" ref="F8">_xlfn.IFERROR(_xlfn.AVERAGEIF('CSF Scoring'!B1:B107,"ID",'CSF Scoring'!I1:I107),"")</f>
        <v>1.19047619047619</v>
      </c>
      <c r="G8" s="82" cm="1">
        <f t="array" ref="G8">_xlfn.COUNTIFS('CSF Scoring'!B1:B107,"ID",'CSF Scoring'!G1:G107,"&gt;0")/COUNTIF('CSF Scoring'!B1:B107,"ID")</f>
        <v>1</v>
      </c>
      <c r="H8" t="s" s="83">
        <v>535</v>
      </c>
    </row>
    <row r="9" ht="25.5" customHeight="1">
      <c r="A9" s="14"/>
      <c r="B9" t="s" s="85">
        <v>246</v>
      </c>
      <c r="C9" t="s" s="17">
        <v>245</v>
      </c>
      <c r="D9" s="81" cm="1">
        <f t="array" ref="D9">_xlfn.IFERROR(_xlfn.AVERAGEIF('CSF Scoring'!B1:B107,"PR",'CSF Scoring'!G1:G107),"")</f>
        <v>1.81818181818182</v>
      </c>
      <c r="E9" s="81" cm="1">
        <f t="array" ref="E9">_xlfn.IFERROR(_xlfn.AVERAGEIF('CSF Scoring'!B1:B107,"PR",'CSF Scoring'!H1:H107),"")</f>
        <v>3.22727272727273</v>
      </c>
      <c r="F9" s="81" cm="1">
        <f t="array" ref="F9">_xlfn.IFERROR(_xlfn.AVERAGEIF('CSF Scoring'!B1:B107,"PR",'CSF Scoring'!I1:I107),"")</f>
        <v>1.40909090909091</v>
      </c>
      <c r="G9" s="82" cm="1">
        <f t="array" ref="G9">_xlfn.COUNTIFS('CSF Scoring'!B1:B107,"PR",'CSF Scoring'!G1:G107,"&gt;0")/COUNTIF('CSF Scoring'!B1:B107,"PR")</f>
        <v>1</v>
      </c>
      <c r="H9" t="s" s="83">
        <v>536</v>
      </c>
    </row>
    <row r="10" ht="25.5" customHeight="1">
      <c r="A10" s="14"/>
      <c r="B10" t="s" s="86">
        <v>324</v>
      </c>
      <c r="C10" t="s" s="17">
        <v>323</v>
      </c>
      <c r="D10" s="81" cm="1">
        <f t="array" ref="D10">_xlfn.IFERROR(_xlfn.AVERAGEIF('CSF Scoring'!B1:B107,"DE",'CSF Scoring'!G1:G107),"")</f>
        <v>1.45454545454545</v>
      </c>
      <c r="E10" s="81" cm="1">
        <f t="array" ref="E10">_xlfn.IFERROR(_xlfn.AVERAGEIF('CSF Scoring'!B1:B107,"DE",'CSF Scoring'!H1:H107),"")</f>
        <v>3.09090909090909</v>
      </c>
      <c r="F10" s="81" cm="1">
        <f t="array" ref="F10">_xlfn.IFERROR(_xlfn.AVERAGEIF('CSF Scoring'!B1:B107,"DE",'CSF Scoring'!I1:I107),"")</f>
        <v>1.63636363636364</v>
      </c>
      <c r="G10" s="82" cm="1">
        <f t="array" ref="G10">_xlfn.COUNTIFS('CSF Scoring'!B1:B107,"DE",'CSF Scoring'!G1:G107,"&gt;0")/COUNTIF('CSF Scoring'!B1:B107,"DE")</f>
        <v>1</v>
      </c>
      <c r="H10" t="s" s="83">
        <v>537</v>
      </c>
    </row>
    <row r="11" ht="25.5" customHeight="1">
      <c r="A11" s="14"/>
      <c r="B11" t="s" s="87">
        <v>363</v>
      </c>
      <c r="C11" t="s" s="17">
        <v>362</v>
      </c>
      <c r="D11" s="81" cm="1">
        <f t="array" ref="D11">_xlfn.IFERROR(_xlfn.AVERAGEIF('CSF Scoring'!B1:B107,"RS",'CSF Scoring'!G1:G107),"")</f>
        <v>1.69230769230769</v>
      </c>
      <c r="E11" s="81" cm="1">
        <f t="array" ref="E11">_xlfn.IFERROR(_xlfn.AVERAGEIF('CSF Scoring'!B1:B107,"RS",'CSF Scoring'!H1:H107),"")</f>
        <v>3.15384615384615</v>
      </c>
      <c r="F11" s="81" cm="1">
        <f t="array" ref="F11">_xlfn.IFERROR(_xlfn.AVERAGEIF('CSF Scoring'!B1:B107,"RS",'CSF Scoring'!I1:I107),"")</f>
        <v>1.46153846153846</v>
      </c>
      <c r="G11" s="82" cm="1">
        <f t="array" ref="G11">_xlfn.COUNTIFS('CSF Scoring'!B1:B107,"RS",'CSF Scoring'!G1:G107,"&gt;0")/COUNTIF('CSF Scoring'!B1:B107,"RS")</f>
        <v>1</v>
      </c>
      <c r="H11" t="s" s="83">
        <v>538</v>
      </c>
    </row>
    <row r="12" ht="25.5" customHeight="1">
      <c r="A12" s="14"/>
      <c r="B12" t="s" s="88">
        <v>412</v>
      </c>
      <c r="C12" t="s" s="89">
        <v>411</v>
      </c>
      <c r="D12" s="90" cm="1">
        <f t="array" ref="D12">_xlfn.IFERROR(_xlfn.AVERAGEIF('CSF Scoring'!B1:B107,"RC",'CSF Scoring'!G1:G107),"")</f>
        <v>1.5</v>
      </c>
      <c r="E12" s="90" cm="1">
        <f t="array" ref="E12">_xlfn.IFERROR(_xlfn.AVERAGEIF('CSF Scoring'!B1:B107,"RC",'CSF Scoring'!H1:H107),"")</f>
        <v>3</v>
      </c>
      <c r="F12" s="90" cm="1">
        <f t="array" ref="F12">_xlfn.IFERROR(_xlfn.AVERAGEIF('CSF Scoring'!B1:B107,"RC",'CSF Scoring'!I1:I107),"")</f>
        <v>1.5</v>
      </c>
      <c r="G12" s="91" cm="1">
        <f t="array" ref="G12">_xlfn.COUNTIFS('CSF Scoring'!B1:B107,"RC",'CSF Scoring'!G1:G107,"&gt;0")/COUNTIF('CSF Scoring'!B1:B107,"RC")</f>
        <v>1</v>
      </c>
      <c r="H12" t="s" s="92">
        <v>539</v>
      </c>
    </row>
    <row r="13" ht="25.5" customHeight="1">
      <c r="A13" s="79"/>
      <c r="B13" t="s" s="93">
        <v>540</v>
      </c>
      <c r="C13" t="s" s="94">
        <v>541</v>
      </c>
      <c r="D13" s="95" cm="1">
        <f t="array" ref="D13">_xlfn.IFERROR(AVERAGE('CSF Scoring'!G2:G107),"")</f>
        <v>1.63207547169811</v>
      </c>
      <c r="E13" s="95" cm="1">
        <f t="array" ref="E13">_xlfn.IFERROR(AVERAGE('CSF Scoring'!H2:H107),"")</f>
        <v>3.0377358490566</v>
      </c>
      <c r="F13" s="95" cm="1">
        <f t="array" ref="F13">_xlfn.IFERROR(AVERAGE('CSF Scoring'!I2:I107),"")</f>
        <v>1.40566037735849</v>
      </c>
      <c r="G13" s="96" cm="1">
        <f t="array" ref="G13">COUNTIF('CSF Scoring'!G2:G107,"&gt;0")/106</f>
        <v>1</v>
      </c>
      <c r="H13" t="s" s="94">
        <v>542</v>
      </c>
    </row>
    <row r="14" ht="13.55" customHeight="1">
      <c r="A14" s="7"/>
      <c r="B14" s="97"/>
      <c r="C14" s="97"/>
      <c r="D14" s="97"/>
      <c r="E14" s="97"/>
      <c r="F14" s="97"/>
      <c r="G14" s="97"/>
      <c r="H14" s="97"/>
    </row>
    <row r="15" ht="17.55" customHeight="1">
      <c r="A15" s="7"/>
      <c r="B15" t="s" s="77">
        <v>543</v>
      </c>
      <c r="C15" s="78"/>
      <c r="D15" s="78"/>
      <c r="E15" s="78"/>
      <c r="F15" s="35"/>
      <c r="G15" s="35"/>
      <c r="H15" s="35"/>
    </row>
    <row r="16" ht="21.75" customHeight="1">
      <c r="A16" s="79"/>
      <c r="B16" t="s" s="39">
        <v>544</v>
      </c>
      <c r="C16" t="s" s="39">
        <v>545</v>
      </c>
      <c r="D16" t="s" s="39">
        <v>546</v>
      </c>
      <c r="E16" t="s" s="39">
        <v>547</v>
      </c>
      <c r="F16" s="98"/>
      <c r="G16" s="7"/>
      <c r="H16" s="7"/>
    </row>
    <row r="17" ht="24" customHeight="1">
      <c r="A17" s="14"/>
      <c r="B17" s="99">
        <v>0</v>
      </c>
      <c r="C17" t="s" s="100">
        <v>548</v>
      </c>
      <c r="D17" s="101" cm="1">
        <f t="array" ref="D17">COUNTIF('CSF Scoring'!I2:I107,0)</f>
        <v>5</v>
      </c>
      <c r="E17" s="102" cm="1">
        <f t="array" ref="E17">_xlfn.IFERROR(D17/COUNT('CSF Scoring'!I2:I107),"")</f>
        <v>0.0471698113207547</v>
      </c>
      <c r="F17" s="103"/>
      <c r="G17" s="7"/>
      <c r="H17" s="7"/>
    </row>
    <row r="18" ht="24" customHeight="1">
      <c r="A18" s="14"/>
      <c r="B18" s="104">
        <v>1</v>
      </c>
      <c r="C18" t="s" s="105">
        <v>549</v>
      </c>
      <c r="D18" s="106" cm="1">
        <f t="array" ref="D18">COUNTIF('CSF Scoring'!I2:I107,1)</f>
        <v>55</v>
      </c>
      <c r="E18" s="107" cm="1">
        <f t="array" ref="E18">_xlfn.IFERROR(D18/COUNT('CSF Scoring'!I2:I107),"")</f>
        <v>0.518867924528302</v>
      </c>
      <c r="F18" s="103"/>
      <c r="G18" s="7"/>
      <c r="H18" s="7"/>
    </row>
    <row r="19" ht="24" customHeight="1">
      <c r="A19" s="14"/>
      <c r="B19" s="108">
        <v>2</v>
      </c>
      <c r="C19" t="s" s="109">
        <v>550</v>
      </c>
      <c r="D19" s="110" cm="1">
        <f t="array" ref="D19">COUNTIF('CSF Scoring'!I2:I107,2)</f>
        <v>44</v>
      </c>
      <c r="E19" s="111" cm="1">
        <f t="array" ref="E19">_xlfn.IFERROR(D19/COUNT('CSF Scoring'!I2:I107),"")</f>
        <v>0.415094339622642</v>
      </c>
      <c r="F19" s="103"/>
      <c r="G19" s="7"/>
      <c r="H19" s="7"/>
    </row>
    <row r="20" ht="24" customHeight="1">
      <c r="A20" s="14"/>
      <c r="B20" s="112">
        <v>3</v>
      </c>
      <c r="C20" t="s" s="113">
        <v>551</v>
      </c>
      <c r="D20" s="114" cm="1">
        <f t="array" ref="D20">COUNTIF('CSF Scoring'!I2:I107,3)</f>
        <v>2</v>
      </c>
      <c r="E20" s="115" cm="1">
        <f t="array" ref="E20">_xlfn.IFERROR(D20/COUNT('CSF Scoring'!I2:I107),"")</f>
        <v>0.0188679245283019</v>
      </c>
      <c r="F20" s="103"/>
      <c r="G20" s="7"/>
      <c r="H20" s="7"/>
    </row>
    <row r="21" ht="13.55" customHeight="1">
      <c r="A21" s="7"/>
      <c r="B21" s="18"/>
      <c r="C21" s="18"/>
      <c r="D21" s="18"/>
      <c r="E21" s="18"/>
      <c r="F21" s="7"/>
      <c r="G21" s="7"/>
      <c r="H21" s="7"/>
    </row>
    <row r="22" ht="17.55" customHeight="1">
      <c r="A22" s="7"/>
      <c r="B22" t="s" s="77">
        <v>552</v>
      </c>
      <c r="C22" s="78"/>
      <c r="D22" s="78"/>
      <c r="E22" s="78"/>
      <c r="F22" s="35"/>
      <c r="G22" s="35"/>
      <c r="H22" s="35"/>
    </row>
    <row r="23" ht="21.75" customHeight="1">
      <c r="A23" s="79"/>
      <c r="B23" t="s" s="39">
        <v>31</v>
      </c>
      <c r="C23" t="s" s="39">
        <v>32</v>
      </c>
      <c r="D23" t="s" s="39">
        <v>546</v>
      </c>
      <c r="E23" t="s" s="39">
        <v>553</v>
      </c>
      <c r="F23" s="98"/>
      <c r="G23" s="7"/>
      <c r="H23" s="7"/>
    </row>
    <row r="24" ht="24" customHeight="1">
      <c r="A24" s="14"/>
      <c r="B24" s="112">
        <v>1</v>
      </c>
      <c r="C24" t="s" s="113">
        <v>35</v>
      </c>
      <c r="D24" s="114" cm="1">
        <f t="array" ref="D24">COUNTIF('CSF Scoring'!G2:G107,1)</f>
        <v>44</v>
      </c>
      <c r="E24" s="115" cm="1">
        <f t="array" ref="E24">_xlfn.IFERROR(D24/COUNT('CSF Scoring'!G2:G107),"")</f>
        <v>0.415094339622642</v>
      </c>
      <c r="F24" s="103"/>
      <c r="G24" s="7"/>
      <c r="H24" s="7"/>
    </row>
    <row r="25" ht="24" customHeight="1">
      <c r="A25" s="14"/>
      <c r="B25" s="108">
        <v>2</v>
      </c>
      <c r="C25" t="s" s="109">
        <v>38</v>
      </c>
      <c r="D25" s="110" cm="1">
        <f t="array" ref="D25">COUNTIF('CSF Scoring'!G2:G107,2)</f>
        <v>57</v>
      </c>
      <c r="E25" s="111" cm="1">
        <f t="array" ref="E25">_xlfn.IFERROR(D25/COUNT('CSF Scoring'!G2:G107),"")</f>
        <v>0.537735849056604</v>
      </c>
      <c r="F25" s="103"/>
      <c r="G25" s="7"/>
      <c r="H25" s="7"/>
    </row>
    <row r="26" ht="24" customHeight="1">
      <c r="A26" s="14"/>
      <c r="B26" s="104">
        <v>3</v>
      </c>
      <c r="C26" t="s" s="105">
        <v>41</v>
      </c>
      <c r="D26" s="106" cm="1">
        <f t="array" ref="D26">COUNTIF('CSF Scoring'!G2:G107,3)</f>
        <v>5</v>
      </c>
      <c r="E26" s="107" cm="1">
        <f t="array" ref="E26">_xlfn.IFERROR(D26/COUNT('CSF Scoring'!G2:G107),"")</f>
        <v>0.0471698113207547</v>
      </c>
      <c r="F26" s="103"/>
      <c r="G26" s="7"/>
      <c r="H26" s="7"/>
    </row>
    <row r="27" ht="24" customHeight="1">
      <c r="A27" s="14"/>
      <c r="B27" s="99">
        <v>4</v>
      </c>
      <c r="C27" t="s" s="100">
        <v>44</v>
      </c>
      <c r="D27" s="101" cm="1">
        <f t="array" ref="D27">COUNTIF('CSF Scoring'!G2:G107,4)</f>
        <v>0</v>
      </c>
      <c r="E27" s="102" cm="1">
        <f t="array" ref="E27">_xlfn.IFERROR(D27/COUNT('CSF Scoring'!G2:G107),"")</f>
        <v>0</v>
      </c>
      <c r="F27" s="103"/>
      <c r="G27" s="7"/>
      <c r="H27" s="7"/>
    </row>
  </sheetData>
  <mergeCells count="5">
    <mergeCell ref="B2:H2"/>
    <mergeCell ref="B3:H3"/>
    <mergeCell ref="B5:H5"/>
    <mergeCell ref="B15:H15"/>
    <mergeCell ref="B22:H22"/>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