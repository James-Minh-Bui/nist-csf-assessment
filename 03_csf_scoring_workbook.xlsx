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Rubric" sheetId="2" state="visible" r:id="rId4"/>
    <sheet name="CSF Scoring" sheetId="3" state="visible" r:id="rId5"/>
    <sheet name="Findings" sheetId="4" state="visible" r:id="rId6"/>
    <sheet name="Dashboar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<sst xmlns="http://schemas.openxmlformats.org/spreadsheetml/2006/main" count="782" uniqueCount="384">
  <si>
    <t xml:space="preserve">NIST CSF 2.0 Maturity Assessment — Scoring Workbook</t>
  </si>
  <si>
    <t xml:space="preserve">Subject organization: Meridian Bridge Capital (MBC) — fictional fintech lender</t>
  </si>
  <si>
    <t xml:space="preserve">Purpose</t>
  </si>
  <si>
    <t xml:space="preserve">This workbook is the scoring engine for a self-assessment against NIST CSF 2.0. It contains all 106 subcategories across the six functions (Govern, Identify, Protect, Detect, Respond, Recover), with structured columns for current tier, target tier, gap, and evidence. The Dashboard tab summarizes maturity at the function level using formulas — no manual rollup needed.</t>
  </si>
  <si>
    <t xml:space="preserve">How to use this workbook</t>
  </si>
  <si>
    <t xml:space="preserve">1. Read the Rubric tab</t>
  </si>
  <si>
    <t xml:space="preserve">Understand the 1-4 tier scale before scoring.</t>
  </si>
  <si>
    <t xml:space="preserve">2. Go to the CSF Scoring tab</t>
  </si>
  <si>
    <t xml:space="preserve">All 106 subcategories are listed, grouped by function.</t>
  </si>
  <si>
    <t xml:space="preserve">3. For each subcategory</t>
  </si>
  <si>
    <t xml:space="preserve">Read the description, identify evidence at MBC, score Current Tier (1-4).</t>
  </si>
  <si>
    <t xml:space="preserve">4. Set Target Tier</t>
  </si>
  <si>
    <t xml:space="preserve">Based on regulatory needs, risk appetite, and business context.</t>
  </si>
  <si>
    <t xml:space="preserve">5. Gap is auto-calculated</t>
  </si>
  <si>
    <t xml:space="preserve">Target minus Current. Subcategories with Gap &gt; 0 are candidate findings.</t>
  </si>
  <si>
    <t xml:space="preserve">6. Document evidence</t>
  </si>
  <si>
    <t xml:space="preserve">What at MBC supports your score? Be specific.</t>
  </si>
  <si>
    <t xml:space="preserve">7. Open the Findings tab</t>
  </si>
  <si>
    <t xml:space="preserve">Capture each gap as a finding with severity, effort, and recommendation.</t>
  </si>
  <si>
    <t xml:space="preserve">8. Watch the Dashboard tab</t>
  </si>
  <si>
    <t xml:space="preserve">Function-level maturity summaries update automatically.</t>
  </si>
  <si>
    <t xml:space="preserve">Source verification</t>
  </si>
  <si>
    <t xml:space="preserve">Subcategory IDs and descriptions in this workbook are paraphrased from the NIST CSF 2.0 Core (published Feb 26, 2024). Before producing final deliverables, validate all subcategory text against the official NIST CSF 2.0 Core spreadsheet, available free at https://www.nist.gov/cyberframework/framework</t>
  </si>
  <si>
    <t xml:space="preserve">Scoring Rubric — NIST CSF 2.0 Implementation Tiers</t>
  </si>
  <si>
    <t xml:space="preserve">Tier</t>
  </si>
  <si>
    <t xml:space="preserve">Name</t>
  </si>
  <si>
    <t xml:space="preserve">Definition</t>
  </si>
  <si>
    <t xml:space="preserve">Typical evidence</t>
  </si>
  <si>
    <t xml:space="preserve">Partial</t>
  </si>
  <si>
    <t xml:space="preserve">Practices are ad hoc and reactive. No documented procedures. Risk awareness exists informally if at all.</t>
  </si>
  <si>
    <t xml:space="preserve">Verbal confirmation only; no artifacts</t>
  </si>
  <si>
    <t xml:space="preserve">Risk Informed</t>
  </si>
  <si>
    <t xml:space="preserve">Awareness exists. Practices are performed but inconsistently or without formal documentation. May be in transition.</t>
  </si>
  <si>
    <t xml:space="preserve">Drafts, informal runbooks, partial coverage</t>
  </si>
  <si>
    <t xml:space="preserve">Repeatable</t>
  </si>
  <si>
    <t xml:space="preserve">Documented practices applied consistently. Owners are named. Reviewed periodically.</t>
  </si>
  <si>
    <t xml:space="preserve">Approved policies, defined procedures, evidence of execution</t>
  </si>
  <si>
    <t xml:space="preserve">Adaptive</t>
  </si>
  <si>
    <t xml:space="preserve">Practices continuously improved based on threat intelligence, metrics, and lessons learned. Integrated across enterprise risk.</t>
  </si>
  <si>
    <t xml:space="preserve">Metrics tracked, improvement cycles documented, threat-informed adjustments</t>
  </si>
  <si>
    <t xml:space="preserve">Scoring guidance</t>
  </si>
  <si>
    <t xml:space="preserve">• Score current tier based on observed evidence at MBC today, not what's planned.</t>
  </si>
  <si>
    <t xml:space="preserve">• When evidence is mixed across tiers, pick the lowest tier that fully fits.</t>
  </si>
  <si>
    <t xml:space="preserve">• Target tier should reflect risk appetite, regulatory drivers, and business context — not aspiration.</t>
  </si>
  <si>
    <t xml:space="preserve">• Target tier need not be 4 for every subcategory. Tier 3 (Repeatable) is appropriate for many areas.</t>
  </si>
  <si>
    <t xml:space="preserve">• Gap = Target − Current. Any positive gap is a candidate finding.</t>
  </si>
  <si>
    <t xml:space="preserve">• Document evidence specifically: 'Policy XYZ approved in Q1 2025, last reviewed March 2026' beats 'Policy exists.'</t>
  </si>
  <si>
    <t xml:space="preserve">Function</t>
  </si>
  <si>
    <t xml:space="preserve">Code</t>
  </si>
  <si>
    <t xml:space="preserve">Category</t>
  </si>
  <si>
    <t xml:space="preserve">Cat Code</t>
  </si>
  <si>
    <t xml:space="preserve">Subcategory ID</t>
  </si>
  <si>
    <t xml:space="preserve">Subcategory Description</t>
  </si>
  <si>
    <t xml:space="preserve">Current Tier</t>
  </si>
  <si>
    <t xml:space="preserve">Target Tier</t>
  </si>
  <si>
    <t xml:space="preserve">Gap</t>
  </si>
  <si>
    <t xml:space="preserve">Evidence / Observations</t>
  </si>
  <si>
    <t xml:space="preserve">Finding ID</t>
  </si>
  <si>
    <t xml:space="preserve">Status</t>
  </si>
  <si>
    <t xml:space="preserve">Govern</t>
  </si>
  <si>
    <t xml:space="preserve">GV</t>
  </si>
  <si>
    <t xml:space="preserve">Organizational Context</t>
  </si>
  <si>
    <t xml:space="preserve">GV.OC</t>
  </si>
  <si>
    <t xml:space="preserve">GV.OC-01</t>
  </si>
  <si>
    <t xml:space="preserve">The organizational mission is understood and informs cybersecurity risk management</t>
  </si>
  <si>
    <t xml:space="preserve">GV.OC-02</t>
  </si>
  <si>
    <t xml:space="preserve">Internal and external stakeholders' cybersecurity needs and expectations are understood and considered</t>
  </si>
  <si>
    <t xml:space="preserve">GV.OC-03</t>
  </si>
  <si>
    <t xml:space="preserve">Legal, regulatory, and contractual cybersecurity requirements (including privacy and civil liberties) are understood and managed</t>
  </si>
  <si>
    <t xml:space="preserve">GV.OC-04</t>
  </si>
  <si>
    <t xml:space="preserve">Critical objectives, capabilities, and services that external stakeholders depend on are understood and communicated</t>
  </si>
  <si>
    <t xml:space="preserve">GV.OC-05</t>
  </si>
  <si>
    <t xml:space="preserve">Outcomes, capabilities, and services that the organization depends on are understood and communicated</t>
  </si>
  <si>
    <t xml:space="preserve">Risk Management Strategy</t>
  </si>
  <si>
    <t xml:space="preserve">GV.RM</t>
  </si>
  <si>
    <t xml:space="preserve">GV.RM-01</t>
  </si>
  <si>
    <t xml:space="preserve">Risk management objectives are established and agreed to by organizational stakeholders</t>
  </si>
  <si>
    <t xml:space="preserve">GV.RM-02</t>
  </si>
  <si>
    <t xml:space="preserve">Risk appetite and risk tolerance statements are established, communicated, and maintained</t>
  </si>
  <si>
    <t xml:space="preserve">GV.RM-03</t>
  </si>
  <si>
    <t xml:space="preserve">Cybersecurity risk management activities and outcomes are included in enterprise risk management processes</t>
  </si>
  <si>
    <t xml:space="preserve">GV.RM-04</t>
  </si>
  <si>
    <t xml:space="preserve">Strategic direction describing appropriate risk response options is established and communicated</t>
  </si>
  <si>
    <t xml:space="preserve">GV.RM-05</t>
  </si>
  <si>
    <t xml:space="preserve">Lines of communication across the organization are established for cybersecurity risks, including supplier and third-party risks</t>
  </si>
  <si>
    <t xml:space="preserve">GV.RM-06</t>
  </si>
  <si>
    <t xml:space="preserve">A standardized method for calculating, documenting, categorizing, and prioritizing cybersecurity risks is established and communicated</t>
  </si>
  <si>
    <t xml:space="preserve">GV.RM-07</t>
  </si>
  <si>
    <t xml:space="preserve">Strategic opportunities (positive risks) are characterized and included in cybersecurity risk discussions</t>
  </si>
  <si>
    <t xml:space="preserve">Roles, Responsibilities, and Authorities</t>
  </si>
  <si>
    <t xml:space="preserve">GV.RR</t>
  </si>
  <si>
    <t xml:space="preserve">GV.RR-01</t>
  </si>
  <si>
    <t xml:space="preserve">Organizational leadership is responsible and accountable for cybersecurity risk and fosters a risk-aware, ethical, continually improving culture</t>
  </si>
  <si>
    <t xml:space="preserve">GV.RR-02</t>
  </si>
  <si>
    <t xml:space="preserve">Roles, responsibilities, and authorities for cybersecurity risk management are established, communicated, understood, and enforced</t>
  </si>
  <si>
    <t xml:space="preserve">GV.RR-03</t>
  </si>
  <si>
    <t xml:space="preserve">Adequate resources are allocated commensurate with the cybersecurity risk strategy, roles, responsibilities, and policies</t>
  </si>
  <si>
    <t xml:space="preserve">GV.RR-04</t>
  </si>
  <si>
    <t xml:space="preserve">Cybersecurity is included in human resources practices</t>
  </si>
  <si>
    <t xml:space="preserve">Policy</t>
  </si>
  <si>
    <t xml:space="preserve">GV.PO</t>
  </si>
  <si>
    <t xml:space="preserve">GV.PO-01</t>
  </si>
  <si>
    <t xml:space="preserve">Policy for managing cybersecurity risks is established based on organizational context, strategy, and priorities, and is communicated and enforced</t>
  </si>
  <si>
    <t xml:space="preserve">GV.PO-02</t>
  </si>
  <si>
    <t xml:space="preserve">Policy for managing cybersecurity risks is reviewed, updated, and enforced to reflect changes in requirements, threats, technology, and mission</t>
  </si>
  <si>
    <t xml:space="preserve">Oversight</t>
  </si>
  <si>
    <t xml:space="preserve">GV.OV</t>
  </si>
  <si>
    <t xml:space="preserve">GV.OV-01</t>
  </si>
  <si>
    <t xml:space="preserve">Cybersecurity risk management strategy outcomes are reviewed to inform and adjust strategy and direction</t>
  </si>
  <si>
    <t xml:space="preserve">GV.OV-02</t>
  </si>
  <si>
    <t xml:space="preserve">The cybersecurity risk management strategy is reviewed and adjusted to ensure coverage of organizational requirements and risks</t>
  </si>
  <si>
    <t xml:space="preserve">GV.OV-03</t>
  </si>
  <si>
    <t xml:space="preserve">Organizational cybersecurity risk management performance is evaluated and reviewed for adjustments needed</t>
  </si>
  <si>
    <t xml:space="preserve">Cybersecurity Supply Chain Risk Management</t>
  </si>
  <si>
    <t xml:space="preserve">GV.SC</t>
  </si>
  <si>
    <t xml:space="preserve">GV.SC-01</t>
  </si>
  <si>
    <t xml:space="preserve">A C-SCRM program, strategy, objectives, policies, and processes are established and agreed to by stakeholders</t>
  </si>
  <si>
    <t xml:space="preserve">GV.SC-02</t>
  </si>
  <si>
    <t xml:space="preserve">Cybersecurity roles and responsibilities for suppliers, customers, and partners are established, communicated, and coordinated</t>
  </si>
  <si>
    <t xml:space="preserve">GV.SC-03</t>
  </si>
  <si>
    <t xml:space="preserve">C-SCRM is integrated into cybersecurity and enterprise risk management, risk assessment, and improvement processes</t>
  </si>
  <si>
    <t xml:space="preserve">GV.SC-04</t>
  </si>
  <si>
    <t xml:space="preserve">Suppliers are known and prioritized by criticality</t>
  </si>
  <si>
    <t xml:space="preserve">GV.SC-05</t>
  </si>
  <si>
    <t xml:space="preserve">Requirements to address cybersecurity risks in supply chains are established, prioritized, and integrated into contracts</t>
  </si>
  <si>
    <t xml:space="preserve">GV.SC-06</t>
  </si>
  <si>
    <t xml:space="preserve">Planning and due diligence are performed to reduce risks before entering into supplier or other third-party relationships</t>
  </si>
  <si>
    <t xml:space="preserve">GV.SC-07</t>
  </si>
  <si>
    <t xml:space="preserve">Risks posed by suppliers, their products/services, and third parties are recorded, prioritized, assessed, responded to, and monitored</t>
  </si>
  <si>
    <t xml:space="preserve">GV.SC-08</t>
  </si>
  <si>
    <t xml:space="preserve">Relevant suppliers and third parties are included in incident planning, response, and recovery activities</t>
  </si>
  <si>
    <t xml:space="preserve">GV.SC-09</t>
  </si>
  <si>
    <t xml:space="preserve">Supply chain security practices are integrated into cybersecurity and ERM programs, with performance monitored across product/service lifecycles</t>
  </si>
  <si>
    <t xml:space="preserve">GV.SC-10</t>
  </si>
  <si>
    <t xml:space="preserve">C-SCRM plans include provisions for activities that occur after the conclusion of a partnership or service agreement</t>
  </si>
  <si>
    <t xml:space="preserve">Identify</t>
  </si>
  <si>
    <t xml:space="preserve">ID</t>
  </si>
  <si>
    <t xml:space="preserve">Asset Management</t>
  </si>
  <si>
    <t xml:space="preserve">ID.AM</t>
  </si>
  <si>
    <t xml:space="preserve">ID.AM-01</t>
  </si>
  <si>
    <t xml:space="preserve">Inventories of hardware managed by the organization are maintained</t>
  </si>
  <si>
    <t xml:space="preserve">ID.AM-02</t>
  </si>
  <si>
    <t xml:space="preserve">Inventories of software, services, and systems managed by the organization are maintained</t>
  </si>
  <si>
    <t xml:space="preserve">ID.AM-03</t>
  </si>
  <si>
    <t xml:space="preserve">Representations of the organization's authorized network communication and internal/external network data flows are maintained</t>
  </si>
  <si>
    <t xml:space="preserve">ID.AM-04</t>
  </si>
  <si>
    <t xml:space="preserve">Inventories of services provided by suppliers are maintained</t>
  </si>
  <si>
    <t xml:space="preserve">ID.AM-05</t>
  </si>
  <si>
    <t xml:space="preserve">Assets are prioritized based on classification, criticality, resources, and impact on the mission</t>
  </si>
  <si>
    <t xml:space="preserve">ID.AM-07</t>
  </si>
  <si>
    <t xml:space="preserve">Inventories of data and corresponding metadata for designated data types are maintained</t>
  </si>
  <si>
    <t xml:space="preserve">ID.AM-08</t>
  </si>
  <si>
    <t xml:space="preserve">Systems, hardware, software, services, and data are managed throughout their life cycles</t>
  </si>
  <si>
    <t xml:space="preserve">Risk Assessment</t>
  </si>
  <si>
    <t xml:space="preserve">ID.RA</t>
  </si>
  <si>
    <t xml:space="preserve">ID.RA-01</t>
  </si>
  <si>
    <t xml:space="preserve">Vulnerabilities in assets are identified, validated, and recorded</t>
  </si>
  <si>
    <t xml:space="preserve">ID.RA-02</t>
  </si>
  <si>
    <t xml:space="preserve">Cyber threat intelligence is received from information sharing forums and sources</t>
  </si>
  <si>
    <t xml:space="preserve">ID.RA-03</t>
  </si>
  <si>
    <t xml:space="preserve">Internal and external threats to the organization are identified and recorded</t>
  </si>
  <si>
    <t xml:space="preserve">ID.RA-04</t>
  </si>
  <si>
    <t xml:space="preserve">Potential impacts and likelihoods of threats exploiting vulnerabilities are identified and recorded</t>
  </si>
  <si>
    <t xml:space="preserve">ID.RA-05</t>
  </si>
  <si>
    <t xml:space="preserve">Threats, vulnerabilities, likelihoods, and impacts are used to determine inherent risk and prioritize risk responses</t>
  </si>
  <si>
    <t xml:space="preserve">ID.RA-06</t>
  </si>
  <si>
    <t xml:space="preserve">Risk responses are chosen, scoped, prioritized, and communicated</t>
  </si>
  <si>
    <t xml:space="preserve">ID.RA-07</t>
  </si>
  <si>
    <t xml:space="preserve">Changes and exceptions are managed, assessed for risk impact, recorded, and tracked</t>
  </si>
  <si>
    <t xml:space="preserve">ID.RA-08</t>
  </si>
  <si>
    <t xml:space="preserve">Processes for receiving, analyzing, and responding to vulnerability disclosures are established</t>
  </si>
  <si>
    <t xml:space="preserve">ID.RA-09</t>
  </si>
  <si>
    <t xml:space="preserve">Authenticity and integrity of hardware and software are assessed prior to acquisition and use</t>
  </si>
  <si>
    <t xml:space="preserve">ID.RA-10</t>
  </si>
  <si>
    <t xml:space="preserve">Critical suppliers are assessed prior to acquisition</t>
  </si>
  <si>
    <t xml:space="preserve">Improvement</t>
  </si>
  <si>
    <t xml:space="preserve">ID.IM</t>
  </si>
  <si>
    <t xml:space="preserve">ID.IM-01</t>
  </si>
  <si>
    <t xml:space="preserve">Improvements are identified from evaluations</t>
  </si>
  <si>
    <t xml:space="preserve">ID.IM-02</t>
  </si>
  <si>
    <t xml:space="preserve">Improvements are identified from security tests and exercises, including those done in coordination with suppliers and third parties</t>
  </si>
  <si>
    <t xml:space="preserve">ID.IM-03</t>
  </si>
  <si>
    <t xml:space="preserve">Improvements are identified from execution of operational processes, procedures, and activities</t>
  </si>
  <si>
    <t xml:space="preserve">ID.IM-04</t>
  </si>
  <si>
    <t xml:space="preserve">Incident response plans and other cybersecurity plans that affect operations are established, communicated, maintained, and improved</t>
  </si>
  <si>
    <t xml:space="preserve">Protect</t>
  </si>
  <si>
    <t xml:space="preserve">PR</t>
  </si>
  <si>
    <t xml:space="preserve">Identity Management, Authentication, and Access Control</t>
  </si>
  <si>
    <t xml:space="preserve">PR.AA</t>
  </si>
  <si>
    <t xml:space="preserve">PR.AA-01</t>
  </si>
  <si>
    <t xml:space="preserve">Identities and credentials for authorized users, services, and hardware are managed by the organization</t>
  </si>
  <si>
    <t xml:space="preserve">PR.AA-02</t>
  </si>
  <si>
    <t xml:space="preserve">Identities are proofed and bound to credentials based on the context of interactions</t>
  </si>
  <si>
    <t xml:space="preserve">PR.AA-03</t>
  </si>
  <si>
    <t xml:space="preserve">Users, services, and hardware are authenticated</t>
  </si>
  <si>
    <t xml:space="preserve">PR.AA-04</t>
  </si>
  <si>
    <t xml:space="preserve">Identity assertions are protected, conveyed, and verified</t>
  </si>
  <si>
    <t xml:space="preserve">PR.AA-05</t>
  </si>
  <si>
    <t xml:space="preserve">Access permissions, entitlements, and authorizations are defined, managed, enforced, and reviewed, incorporating least privilege and separation of duties</t>
  </si>
  <si>
    <t xml:space="preserve">PR.AA-06</t>
  </si>
  <si>
    <t xml:space="preserve">Physical access to assets is managed, monitored, and enforced commensurate with risk</t>
  </si>
  <si>
    <t xml:space="preserve">Awareness and Training</t>
  </si>
  <si>
    <t xml:space="preserve">PR.AT</t>
  </si>
  <si>
    <t xml:space="preserve">PR.AT-01</t>
  </si>
  <si>
    <t xml:space="preserve">Personnel are provided with awareness and training so that they possess the knowledge and skills to perform general cybersecurity-related tasks</t>
  </si>
  <si>
    <t xml:space="preserve">PR.AT-02</t>
  </si>
  <si>
    <t xml:space="preserve">Individuals in specialized roles are provided with training so they possess the knowledge and skills to perform relevant cybersecurity-related tasks</t>
  </si>
  <si>
    <t xml:space="preserve">Data Security</t>
  </si>
  <si>
    <t xml:space="preserve">PR.DS</t>
  </si>
  <si>
    <t xml:space="preserve">PR.DS-01</t>
  </si>
  <si>
    <t xml:space="preserve">Confidentiality, integrity, and availability of data-at-rest are protected</t>
  </si>
  <si>
    <t xml:space="preserve">PR.DS-02</t>
  </si>
  <si>
    <t xml:space="preserve">Confidentiality, integrity, and availability of data-in-transit are protected</t>
  </si>
  <si>
    <t xml:space="preserve">PR.DS-10</t>
  </si>
  <si>
    <t xml:space="preserve">Confidentiality, integrity, and availability of data-in-use are protected</t>
  </si>
  <si>
    <t xml:space="preserve">PR.DS-11</t>
  </si>
  <si>
    <t xml:space="preserve">Backups of data are created, protected, maintained, and tested</t>
  </si>
  <si>
    <t xml:space="preserve">Platform Security</t>
  </si>
  <si>
    <t xml:space="preserve">PR.PS</t>
  </si>
  <si>
    <t xml:space="preserve">PR.PS-01</t>
  </si>
  <si>
    <t xml:space="preserve">Configuration management practices are established and applied</t>
  </si>
  <si>
    <t xml:space="preserve">PR.PS-02</t>
  </si>
  <si>
    <t xml:space="preserve">Software is maintained, replaced, and removed commensurate with risk</t>
  </si>
  <si>
    <t xml:space="preserve">PR.PS-03</t>
  </si>
  <si>
    <t xml:space="preserve">Hardware is maintained, replaced, and removed commensurate with risk</t>
  </si>
  <si>
    <t xml:space="preserve">PR.PS-04</t>
  </si>
  <si>
    <t xml:space="preserve">Log records are generated and made available for continuous monitoring</t>
  </si>
  <si>
    <t xml:space="preserve">PR.PS-05</t>
  </si>
  <si>
    <t xml:space="preserve">Installation and execution of unauthorized software are prevented</t>
  </si>
  <si>
    <t xml:space="preserve">PR.PS-06</t>
  </si>
  <si>
    <t xml:space="preserve">Secure software development practices are integrated, and their performance is monitored throughout the software development lifecycle</t>
  </si>
  <si>
    <t xml:space="preserve">Technology Infrastructure Resilience</t>
  </si>
  <si>
    <t xml:space="preserve">PR.IR</t>
  </si>
  <si>
    <t xml:space="preserve">PR.IR-01</t>
  </si>
  <si>
    <t xml:space="preserve">Networks and environments are protected from unauthorized logical access and usage</t>
  </si>
  <si>
    <t xml:space="preserve">PR.IR-02</t>
  </si>
  <si>
    <t xml:space="preserve">The organization's technology assets are protected from environmental threats</t>
  </si>
  <si>
    <t xml:space="preserve">PR.IR-03</t>
  </si>
  <si>
    <t xml:space="preserve">Mechanisms are implemented to achieve resilience requirements in normal and adverse situations</t>
  </si>
  <si>
    <t xml:space="preserve">PR.IR-04</t>
  </si>
  <si>
    <t xml:space="preserve">Adequate resource capacity to ensure availability is maintained</t>
  </si>
  <si>
    <t xml:space="preserve">Detect</t>
  </si>
  <si>
    <t xml:space="preserve">DE</t>
  </si>
  <si>
    <t xml:space="preserve">Continuous Monitoring</t>
  </si>
  <si>
    <t xml:space="preserve">DE.CM</t>
  </si>
  <si>
    <t xml:space="preserve">DE.CM-01</t>
  </si>
  <si>
    <t xml:space="preserve">Networks and network services are monitored to find potentially adverse events</t>
  </si>
  <si>
    <t xml:space="preserve">DE.CM-02</t>
  </si>
  <si>
    <t xml:space="preserve">The physical environment is monitored to find potentially adverse events</t>
  </si>
  <si>
    <t xml:space="preserve">DE.CM-03</t>
  </si>
  <si>
    <t xml:space="preserve">Personnel activity and technology usage are monitored to find potentially adverse events</t>
  </si>
  <si>
    <t xml:space="preserve">DE.CM-06</t>
  </si>
  <si>
    <t xml:space="preserve">External service provider activities and services are monitored to find potentially adverse events</t>
  </si>
  <si>
    <t xml:space="preserve">DE.CM-09</t>
  </si>
  <si>
    <t xml:space="preserve">Computing hardware and software, runtime environments, and their data are monitored to find potentially adverse events</t>
  </si>
  <si>
    <t xml:space="preserve">Adverse Event Analysis</t>
  </si>
  <si>
    <t xml:space="preserve">DE.AE</t>
  </si>
  <si>
    <t xml:space="preserve">DE.AE-02</t>
  </si>
  <si>
    <t xml:space="preserve">Potentially adverse events are analyzed to better understand associated activities</t>
  </si>
  <si>
    <t xml:space="preserve">DE.AE-03</t>
  </si>
  <si>
    <t xml:space="preserve">Information is correlated from multiple sources</t>
  </si>
  <si>
    <t xml:space="preserve">DE.AE-04</t>
  </si>
  <si>
    <t xml:space="preserve">The estimated impact and scope of adverse events are understood</t>
  </si>
  <si>
    <t xml:space="preserve">DE.AE-06</t>
  </si>
  <si>
    <t xml:space="preserve">Information on adverse events is provided to authorized staff and tools</t>
  </si>
  <si>
    <t xml:space="preserve">DE.AE-07</t>
  </si>
  <si>
    <t xml:space="preserve">Cyber threat intelligence and other contextual information are integrated into the analysis</t>
  </si>
  <si>
    <t xml:space="preserve">DE.AE-08</t>
  </si>
  <si>
    <t xml:space="preserve">Incidents are declared when adverse events meet the defined incident criteria</t>
  </si>
  <si>
    <t xml:space="preserve">Respond</t>
  </si>
  <si>
    <t xml:space="preserve">RS</t>
  </si>
  <si>
    <t xml:space="preserve">Incident Management</t>
  </si>
  <si>
    <t xml:space="preserve">RS.MA</t>
  </si>
  <si>
    <t xml:space="preserve">RS.MA-01</t>
  </si>
  <si>
    <t xml:space="preserve">The incident response plan is executed in coordination with relevant third parties once an incident is declared</t>
  </si>
  <si>
    <t xml:space="preserve">RS.MA-02</t>
  </si>
  <si>
    <t xml:space="preserve">Incident reports are triaged and validated</t>
  </si>
  <si>
    <t xml:space="preserve">RS.MA-03</t>
  </si>
  <si>
    <t xml:space="preserve">Incidents are categorized and prioritized</t>
  </si>
  <si>
    <t xml:space="preserve">RS.MA-04</t>
  </si>
  <si>
    <t xml:space="preserve">Incidents are escalated or elevated as needed</t>
  </si>
  <si>
    <t xml:space="preserve">RS.MA-05</t>
  </si>
  <si>
    <t xml:space="preserve">The criteria for initiating incident recovery are applied</t>
  </si>
  <si>
    <t xml:space="preserve">Incident Analysis</t>
  </si>
  <si>
    <t xml:space="preserve">RS.AN</t>
  </si>
  <si>
    <t xml:space="preserve">RS.AN-03</t>
  </si>
  <si>
    <t xml:space="preserve">Analysis is performed to establish what has taken place during an incident and the root cause of the incident</t>
  </si>
  <si>
    <t xml:space="preserve">RS.AN-06</t>
  </si>
  <si>
    <t xml:space="preserve">Actions performed during an investigation are recorded, and the records' integrity and provenance are preserved</t>
  </si>
  <si>
    <t xml:space="preserve">RS.AN-07</t>
  </si>
  <si>
    <t xml:space="preserve">Incident data and metadata are collected, and their integrity and provenance are preserved</t>
  </si>
  <si>
    <t xml:space="preserve">RS.AN-08</t>
  </si>
  <si>
    <t xml:space="preserve">An incident's magnitude is estimated and validated</t>
  </si>
  <si>
    <t xml:space="preserve">Incident Response Reporting and Communication</t>
  </si>
  <si>
    <t xml:space="preserve">RS.CO</t>
  </si>
  <si>
    <t xml:space="preserve">RS.CO-02</t>
  </si>
  <si>
    <t xml:space="preserve">Internal and external stakeholders are notified of incidents</t>
  </si>
  <si>
    <t xml:space="preserve">RS.CO-03</t>
  </si>
  <si>
    <t xml:space="preserve">Information is shared with designated internal and external stakeholders</t>
  </si>
  <si>
    <t xml:space="preserve">Incident Mitigation</t>
  </si>
  <si>
    <t xml:space="preserve">RS.MI</t>
  </si>
  <si>
    <t xml:space="preserve">RS.MI-01</t>
  </si>
  <si>
    <t xml:space="preserve">Incidents are contained</t>
  </si>
  <si>
    <t xml:space="preserve">RS.MI-02</t>
  </si>
  <si>
    <t xml:space="preserve">Incidents are eradicated</t>
  </si>
  <si>
    <t xml:space="preserve">Recover</t>
  </si>
  <si>
    <t xml:space="preserve">RC</t>
  </si>
  <si>
    <t xml:space="preserve">Incident Recovery Plan Execution</t>
  </si>
  <si>
    <t xml:space="preserve">RC.RP</t>
  </si>
  <si>
    <t xml:space="preserve">RC.RP-01</t>
  </si>
  <si>
    <t xml:space="preserve">The recovery portion of the incident response plan is executed once initiated from the incident response process</t>
  </si>
  <si>
    <t xml:space="preserve">RC.RP-02</t>
  </si>
  <si>
    <t xml:space="preserve">Recovery actions are selected, scoped, prioritized, and performed</t>
  </si>
  <si>
    <t xml:space="preserve">RC.RP-03</t>
  </si>
  <si>
    <t xml:space="preserve">The integrity of backups and other restoration assets is verified before using them for restoration</t>
  </si>
  <si>
    <t xml:space="preserve">RC.RP-04</t>
  </si>
  <si>
    <t xml:space="preserve">Critical mission functions and cybersecurity risk management are considered to establish post-incident operational norms</t>
  </si>
  <si>
    <t xml:space="preserve">RC.RP-05</t>
  </si>
  <si>
    <t xml:space="preserve">The integrity of restored assets is verified, systems and services are restored, and normal operating status is confirmed</t>
  </si>
  <si>
    <t xml:space="preserve">RC.RP-06</t>
  </si>
  <si>
    <t xml:space="preserve">The end of incident recovery is declared based on criteria, and incident-related documentation is completed</t>
  </si>
  <si>
    <t xml:space="preserve">Incident Recovery Communication</t>
  </si>
  <si>
    <t xml:space="preserve">RC.CO</t>
  </si>
  <si>
    <t xml:space="preserve">RC.CO-03</t>
  </si>
  <si>
    <t xml:space="preserve">Recovery activities and progress in restoring operational capabilities are communicated to designated internal and external stakeholders</t>
  </si>
  <si>
    <t xml:space="preserve">RC.CO-04</t>
  </si>
  <si>
    <t xml:space="preserve">Public updates on incident recovery are properly shared using approved methods and messaging</t>
  </si>
  <si>
    <t xml:space="preserve">Title</t>
  </si>
  <si>
    <t xml:space="preserve">Subcategory IDs</t>
  </si>
  <si>
    <t xml:space="preserve">Current State</t>
  </si>
  <si>
    <t xml:space="preserve">Risk</t>
  </si>
  <si>
    <t xml:space="preserve">Recommendation</t>
  </si>
  <si>
    <t xml:space="preserve">Severity (1-5)</t>
  </si>
  <si>
    <t xml:space="preserve">Effort (S/M/L/XL)</t>
  </si>
  <si>
    <t xml:space="preserve">Priority</t>
  </si>
  <si>
    <t xml:space="preserve">Phase</t>
  </si>
  <si>
    <t xml:space="preserve">Owner</t>
  </si>
  <si>
    <t xml:space="preserve">F-01</t>
  </si>
  <si>
    <t xml:space="preserve">No formal cybersecurity supply chain risk management program</t>
  </si>
  <si>
    <t xml:space="preserve">GV.SC-01, GV.SC-04, GV.SC-07</t>
  </si>
  <si>
    <t xml:space="preserve">MBC has 80+ third-party vendors but no central inventory, no tiering by criticality, and no recurring re-assessment cadence. Initial diligence is performed informally by Legal during contracting.</t>
  </si>
  <si>
    <t xml:space="preserve">Critical vendor compromises (e.g., LOS plugins, credit bureau APIs) could go undetected and unmitigated. Likely failure point for FTC Safeguards Rule audit and SOC 2 Type II.</t>
  </si>
  <si>
    <t xml:space="preserve">Stand up a formal vendor risk management program: vendor inventory with criticality tiering, security questionnaire library, contractual security clauses, annual re-assessment for Tier 1 vendors.</t>
  </si>
  <si>
    <t xml:space="preserve">L</t>
  </si>
  <si>
    <t xml:space="preserve">High</t>
  </si>
  <si>
    <t xml:space="preserve">Phase 1</t>
  </si>
  <si>
    <t xml:space="preserve">Director of InfoSec</t>
  </si>
  <si>
    <t xml:space="preserve">Open</t>
  </si>
  <si>
    <t xml:space="preserve">F-02</t>
  </si>
  <si>
    <t xml:space="preserve">Privileged access reviews performed ad hoc, not on documented cadence</t>
  </si>
  <si>
    <t xml:space="preserve">Admin access to AWS, Salesforce, and the LOS is granted as needed but reviewed only when an audit prompts it. No quarterly access certification process exists.</t>
  </si>
  <si>
    <t xml:space="preserve">Stale privileged access creates insider threat and audit findings. SOC 2 Type II auditors will flag this as a control deficiency.</t>
  </si>
  <si>
    <t xml:space="preserve">Implement quarterly privileged access reviews. Use Okta + AWS IAM Access Analyzer to generate review lists. Document approver, review date, action taken per account.</t>
  </si>
  <si>
    <t xml:space="preserve">M</t>
  </si>
  <si>
    <t xml:space="preserve">Security Engineer</t>
  </si>
  <si>
    <t xml:space="preserve">↑ Two sample findings above (light blue tint) are illustrative. Replace with your own as you score the subcategories.</t>
  </si>
  <si>
    <t xml:space="preserve">Maturity Dashboard</t>
  </si>
  <si>
    <t xml:space="preserve">Auto-calculated from the CSF Scoring tab. Updates as you score subcategories.</t>
  </si>
  <si>
    <t xml:space="preserve">Function-Level Maturity</t>
  </si>
  <si>
    <t xml:space="preserve">Avg Current</t>
  </si>
  <si>
    <t xml:space="preserve">Avg Target</t>
  </si>
  <si>
    <t xml:space="preserve">Avg Gap</t>
  </si>
  <si>
    <t xml:space="preserve">% Scored</t>
  </si>
  <si>
    <t xml:space="preserve">Description</t>
  </si>
  <si>
    <t xml:space="preserve">Establish, communicate, and monitor the organization's cybersecurity risk management strategy, expectations, and policy</t>
  </si>
  <si>
    <t xml:space="preserve">Help determine the current cybersecurity risk to the organization</t>
  </si>
  <si>
    <t xml:space="preserve">Use safeguards to prevent or reduce cybersecurity risk</t>
  </si>
  <si>
    <t xml:space="preserve">Find and analyze possible cybersecurity attacks and compromises</t>
  </si>
  <si>
    <t xml:space="preserve">Take action regarding a detected cybersecurity incident</t>
  </si>
  <si>
    <t xml:space="preserve">Restore assets and operations affected by a cybersecurity incident</t>
  </si>
  <si>
    <t xml:space="preserve">ALL</t>
  </si>
  <si>
    <t xml:space="preserve">Overall</t>
  </si>
  <si>
    <t xml:space="preserve">Across all 106 subcategories</t>
  </si>
  <si>
    <t xml:space="preserve">Gap Distribution</t>
  </si>
  <si>
    <t xml:space="preserve">Gap Size</t>
  </si>
  <si>
    <t xml:space="preserve">Meaning</t>
  </si>
  <si>
    <t xml:space="preserve">Count</t>
  </si>
  <si>
    <t xml:space="preserve">% of Total</t>
  </si>
  <si>
    <t xml:space="preserve">On target — no action</t>
  </si>
  <si>
    <t xml:space="preserve">Minor gap — single tier</t>
  </si>
  <si>
    <t xml:space="preserve">Moderate gap — two tiers</t>
  </si>
  <si>
    <t xml:space="preserve">Major gap — three tiers</t>
  </si>
  <si>
    <t xml:space="preserve">Current Tier Distribution</t>
  </si>
  <si>
    <t xml:space="preserve">% of Scored</t>
  </si>
</sst>
</file>

<file path=xl/styles.xml><?xml version="1.0" encoding="utf-8"?>
<styleSheet xmlns="http://schemas.openxmlformats.org/spreadsheetml/2006/main">
  <numFmts count="3">
    <numFmt numFmtId="164" formatCode="General"/>
    <numFmt numFmtId="165" formatCode="0.00"/>
    <numFmt numFmtId="166" formatCode="0%"/>
  </numFmts>
  <fonts count="13">
    <font>
      <sz val="11"/>
      <color theme="1"/>
      <name val="Calibri"/>
      <family val="2"/>
      <charset val="1"/>
    </font>
    <font>
      <sz val="10"/>
      <name val="Arial"/>
      <family val="0"/>
    </font>
    <font>
      <sz val="10"/>
      <name val="Arial"/>
      <family val="0"/>
    </font>
    <font>
      <sz val="10"/>
      <name val="Arial"/>
      <family val="0"/>
    </font>
    <font>
      <b val="true"/>
      <sz val="18"/>
      <color rgb="FF0F1B2D"/>
      <name val="Arial"/>
      <family val="0"/>
      <charset val="1"/>
    </font>
    <font>
      <sz val="9"/>
      <color rgb="FF5B6573"/>
      <name val="Arial"/>
      <family val="0"/>
      <charset val="1"/>
    </font>
    <font>
      <b val="true"/>
      <sz val="13"/>
      <color rgb="FF1F6FB2"/>
      <name val="Arial"/>
      <family val="0"/>
      <charset val="1"/>
    </font>
    <font>
      <sz val="10"/>
      <color rgb="FF0F1B2D"/>
      <name val="Arial"/>
      <family val="0"/>
      <charset val="1"/>
    </font>
    <font>
      <b val="true"/>
      <sz val="11"/>
      <color rgb="FF0F1B2D"/>
      <name val="Arial"/>
      <family val="0"/>
      <charset val="1"/>
    </font>
    <font>
      <b val="true"/>
      <sz val="10"/>
      <color rgb="FFFFFFFF"/>
      <name val="Arial"/>
      <family val="0"/>
      <charset val="1"/>
    </font>
    <font>
      <b val="true"/>
      <sz val="14"/>
      <color rgb="FF0F1B2D"/>
      <name val="Arial"/>
      <family val="0"/>
      <charset val="1"/>
    </font>
    <font>
      <b val="true"/>
      <sz val="10"/>
      <color rgb="FF0F1B2D"/>
      <name val="Arial"/>
      <family val="0"/>
      <charset val="1"/>
    </font>
    <font>
      <i val="true"/>
      <sz val="8.5"/>
      <color rgb="FF5B6573"/>
      <name val="Arial"/>
      <family val="0"/>
      <charset val="1"/>
    </font>
  </fonts>
  <fills count="9">
    <fill>
      <patternFill patternType="none"/>
    </fill>
    <fill>
      <patternFill patternType="gray125"/>
    </fill>
    <fill>
      <patternFill patternType="solid">
        <fgColor rgb="FFEBF2F9"/>
        <bgColor rgb="FFEAF3EC"/>
      </patternFill>
    </fill>
    <fill>
      <patternFill patternType="solid">
        <fgColor rgb="FF0F1B2D"/>
        <bgColor rgb="FF000000"/>
      </patternFill>
    </fill>
    <fill>
      <patternFill patternType="solid">
        <fgColor rgb="FFFBE9E4"/>
        <bgColor rgb="FFF3E8F4"/>
      </patternFill>
    </fill>
    <fill>
      <patternFill patternType="solid">
        <fgColor rgb="FFFFF4D6"/>
        <bgColor rgb="FFFBE9E4"/>
      </patternFill>
    </fill>
    <fill>
      <patternFill patternType="solid">
        <fgColor rgb="FFEAF3EC"/>
        <bgColor rgb="FFE8F0E8"/>
      </patternFill>
    </fill>
    <fill>
      <patternFill patternType="solid">
        <fgColor rgb="FFF3E8F4"/>
        <bgColor rgb="FFFBE9E4"/>
      </patternFill>
    </fill>
    <fill>
      <patternFill patternType="solid">
        <fgColor rgb="FFE8F0E8"/>
        <bgColor rgb="FFEAF3EC"/>
      </patternFill>
    </fill>
  </fills>
  <borders count="3">
    <border diagonalUp="false" diagonalDown="false">
      <left/>
      <right/>
      <top/>
      <bottom/>
      <diagonal/>
    </border>
    <border diagonalUp="false" diagonalDown="false">
      <left style="thin">
        <color rgb="FFD9D4C7"/>
      </left>
      <right style="thin">
        <color rgb="FFD9D4C7"/>
      </right>
      <top style="thin">
        <color rgb="FFD9D4C7"/>
      </top>
      <bottom style="thin">
        <color rgb="FFD9D4C7"/>
      </bottom>
      <diagonal/>
    </border>
    <border diagonalUp="false" diagonalDown="false">
      <left style="thin">
        <color rgb="FF0F1B2D"/>
      </left>
      <right style="thin">
        <color rgb="FF0F1B2D"/>
      </right>
      <top style="thin">
        <color rgb="FF0F1B2D"/>
      </top>
      <bottom style="thin">
        <color rgb="FF0F1B2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left" vertical="top" textRotation="0" wrapText="tru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9" fillId="3" borderId="2"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left" vertical="top"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1"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true" indent="0" shrinkToFit="false"/>
      <protection locked="true" hidden="false"/>
    </xf>
    <xf numFmtId="166" fontId="0" fillId="0" borderId="1" xfId="0" applyFont="fals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7"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9" fillId="3" borderId="2" xfId="0" applyFont="true" applyBorder="true" applyAlignment="true" applyProtection="false">
      <alignment horizontal="left" vertical="center" textRotation="0" wrapText="true" indent="0" shrinkToFit="false"/>
      <protection locked="true" hidden="false"/>
    </xf>
    <xf numFmtId="165" fontId="9" fillId="3" borderId="2" xfId="0" applyFont="true" applyBorder="true" applyAlignment="true" applyProtection="false">
      <alignment horizontal="center" vertical="center" textRotation="0" wrapText="true" indent="0" shrinkToFit="false"/>
      <protection locked="true" hidden="false"/>
    </xf>
    <xf numFmtId="166" fontId="9" fillId="3" borderId="2"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left" vertical="center" textRotation="0" wrapText="true" indent="0" shrinkToFit="false"/>
      <protection locked="true" hidden="false"/>
    </xf>
    <xf numFmtId="166" fontId="0" fillId="2" borderId="1" xfId="0" applyFont="fals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6" fontId="0" fillId="5" borderId="1" xfId="0" applyFont="fals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6" fontId="0" fillId="4" borderId="1" xfId="0" applyFont="fals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BE9E4"/>
        </patternFill>
      </fill>
    </dxf>
    <dxf>
      <fill>
        <patternFill>
          <bgColor rgb="FFFFF4D6"/>
        </patternFill>
      </fill>
    </dxf>
    <dxf>
      <fill>
        <patternFill>
          <bgColor rgb="FFEBF2F9"/>
        </patternFill>
      </fill>
    </dxf>
    <dxf>
      <fill>
        <patternFill>
          <bgColor rgb="FFEAF3E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4C7"/>
      <rgbColor rgb="FF808080"/>
      <rgbColor rgb="FF9999FF"/>
      <rgbColor rgb="FF993366"/>
      <rgbColor rgb="FFFFF4D6"/>
      <rgbColor rgb="FFEBF2F9"/>
      <rgbColor rgb="FF660066"/>
      <rgbColor rgb="FFFF8080"/>
      <rgbColor rgb="FF1F6FB2"/>
      <rgbColor rgb="FFF3E8F4"/>
      <rgbColor rgb="FF000080"/>
      <rgbColor rgb="FFFF00FF"/>
      <rgbColor rgb="FFFFFF00"/>
      <rgbColor rgb="FF00FFFF"/>
      <rgbColor rgb="FF800080"/>
      <rgbColor rgb="FF800000"/>
      <rgbColor rgb="FF008080"/>
      <rgbColor rgb="FF0000FF"/>
      <rgbColor rgb="FF00CCFF"/>
      <rgbColor rgb="FFEAF3EC"/>
      <rgbColor rgb="FFE8F0E8"/>
      <rgbColor rgb="FFFBE9E4"/>
      <rgbColor rgb="FF99CCFF"/>
      <rgbColor rgb="FFFF99CC"/>
      <rgbColor rgb="FFCC99FF"/>
      <rgbColor rgb="FFFFCC99"/>
      <rgbColor rgb="FF3366FF"/>
      <rgbColor rgb="FF33CCCC"/>
      <rgbColor rgb="FF99CC00"/>
      <rgbColor rgb="FFFFCC00"/>
      <rgbColor rgb="FFFF9900"/>
      <rgbColor rgb="FFFF6600"/>
      <rgbColor rgb="FF5B6573"/>
      <rgbColor rgb="FF969696"/>
      <rgbColor rgb="FF003366"/>
      <rgbColor rgb="FF339966"/>
      <rgbColor rgb="FF0F1B2D"/>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95"/>
  </cols>
  <sheetData>
    <row r="2" customFormat="false" ht="30" hidden="false" customHeight="true" outlineLevel="0" collapsed="false">
      <c r="B2" s="1" t="s">
        <v>0</v>
      </c>
    </row>
    <row r="3" customFormat="false" ht="15" hidden="false" customHeight="false" outlineLevel="0" collapsed="false">
      <c r="B3" s="2" t="s">
        <v>1</v>
      </c>
    </row>
    <row r="5" customFormat="false" ht="16.15" hidden="false" customHeight="false" outlineLevel="0" collapsed="false">
      <c r="B5" s="3" t="s">
        <v>2</v>
      </c>
    </row>
    <row r="6" customFormat="false" ht="54.75" hidden="false" customHeight="true" outlineLevel="0" collapsed="false">
      <c r="B6" s="4" t="s">
        <v>3</v>
      </c>
    </row>
    <row r="8" customFormat="false" ht="16.15" hidden="false" customHeight="false" outlineLevel="0" collapsed="false">
      <c r="B8" s="3" t="s">
        <v>4</v>
      </c>
    </row>
    <row r="9" customFormat="false" ht="15" hidden="false" customHeight="false" outlineLevel="0" collapsed="false">
      <c r="B9" s="5" t="s">
        <v>5</v>
      </c>
    </row>
    <row r="10" customFormat="false" ht="21.75" hidden="false" customHeight="true" outlineLevel="0" collapsed="false">
      <c r="B10" s="6" t="s">
        <v>6</v>
      </c>
    </row>
    <row r="11" customFormat="false" ht="15" hidden="false" customHeight="false" outlineLevel="0" collapsed="false">
      <c r="B11" s="5" t="s">
        <v>7</v>
      </c>
    </row>
    <row r="12" customFormat="false" ht="21.75" hidden="false" customHeight="true" outlineLevel="0" collapsed="false">
      <c r="B12" s="6" t="s">
        <v>8</v>
      </c>
    </row>
    <row r="13" customFormat="false" ht="15" hidden="false" customHeight="false" outlineLevel="0" collapsed="false">
      <c r="B13" s="5" t="s">
        <v>9</v>
      </c>
    </row>
    <row r="14" customFormat="false" ht="21.75" hidden="false" customHeight="true" outlineLevel="0" collapsed="false">
      <c r="B14" s="6" t="s">
        <v>10</v>
      </c>
    </row>
    <row r="15" customFormat="false" ht="15" hidden="false" customHeight="false" outlineLevel="0" collapsed="false">
      <c r="B15" s="5" t="s">
        <v>11</v>
      </c>
    </row>
    <row r="16" customFormat="false" ht="21.75" hidden="false" customHeight="true" outlineLevel="0" collapsed="false">
      <c r="B16" s="6" t="s">
        <v>12</v>
      </c>
    </row>
    <row r="17" customFormat="false" ht="15" hidden="false" customHeight="false" outlineLevel="0" collapsed="false">
      <c r="B17" s="5" t="s">
        <v>13</v>
      </c>
    </row>
    <row r="18" customFormat="false" ht="21.75" hidden="false" customHeight="true" outlineLevel="0" collapsed="false">
      <c r="B18" s="6" t="s">
        <v>14</v>
      </c>
    </row>
    <row r="19" customFormat="false" ht="15" hidden="false" customHeight="false" outlineLevel="0" collapsed="false">
      <c r="B19" s="5" t="s">
        <v>15</v>
      </c>
    </row>
    <row r="20" customFormat="false" ht="21.75" hidden="false" customHeight="true" outlineLevel="0" collapsed="false">
      <c r="B20" s="6" t="s">
        <v>16</v>
      </c>
    </row>
    <row r="21" customFormat="false" ht="15" hidden="false" customHeight="false" outlineLevel="0" collapsed="false">
      <c r="B21" s="5" t="s">
        <v>17</v>
      </c>
    </row>
    <row r="22" customFormat="false" ht="21.75" hidden="false" customHeight="true" outlineLevel="0" collapsed="false">
      <c r="B22" s="6" t="s">
        <v>18</v>
      </c>
    </row>
    <row r="23" customFormat="false" ht="15" hidden="false" customHeight="false" outlineLevel="0" collapsed="false">
      <c r="B23" s="5" t="s">
        <v>19</v>
      </c>
    </row>
    <row r="24" customFormat="false" ht="21.75" hidden="false" customHeight="true" outlineLevel="0" collapsed="false">
      <c r="B24" s="6" t="s">
        <v>20</v>
      </c>
    </row>
    <row r="26" customFormat="false" ht="16.15" hidden="false" customHeight="false" outlineLevel="0" collapsed="false">
      <c r="B26" s="3" t="s">
        <v>21</v>
      </c>
    </row>
    <row r="27" customFormat="false" ht="49.5" hidden="false" customHeight="true" outlineLevel="0" collapsed="false">
      <c r="B27" s="7"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18"/>
    <col collapsed="false" customWidth="true" hidden="false" outlineLevel="0" max="4" min="4" style="0" width="45"/>
    <col collapsed="false" customWidth="true" hidden="false" outlineLevel="0" max="5" min="5" style="0" width="35"/>
  </cols>
  <sheetData>
    <row r="2" customFormat="false" ht="22.05" hidden="false" customHeight="false" outlineLevel="0" collapsed="false">
      <c r="B2" s="8" t="s">
        <v>23</v>
      </c>
      <c r="C2" s="8"/>
      <c r="D2" s="8"/>
      <c r="E2" s="8"/>
    </row>
    <row r="4" customFormat="false" ht="21.75" hidden="false" customHeight="true" outlineLevel="0" collapsed="false">
      <c r="B4" s="9" t="s">
        <v>24</v>
      </c>
      <c r="C4" s="9" t="s">
        <v>25</v>
      </c>
      <c r="D4" s="9" t="s">
        <v>26</v>
      </c>
      <c r="E4" s="9" t="s">
        <v>27</v>
      </c>
    </row>
    <row r="5" customFormat="false" ht="60" hidden="false" customHeight="true" outlineLevel="0" collapsed="false">
      <c r="B5" s="10" t="n">
        <v>1</v>
      </c>
      <c r="C5" s="11" t="s">
        <v>28</v>
      </c>
      <c r="D5" s="12" t="s">
        <v>29</v>
      </c>
      <c r="E5" s="12" t="s">
        <v>30</v>
      </c>
    </row>
    <row r="6" customFormat="false" ht="60" hidden="false" customHeight="true" outlineLevel="0" collapsed="false">
      <c r="B6" s="13" t="n">
        <v>2</v>
      </c>
      <c r="C6" s="14" t="s">
        <v>31</v>
      </c>
      <c r="D6" s="15" t="s">
        <v>32</v>
      </c>
      <c r="E6" s="15" t="s">
        <v>33</v>
      </c>
    </row>
    <row r="7" customFormat="false" ht="60" hidden="false" customHeight="true" outlineLevel="0" collapsed="false">
      <c r="B7" s="16" t="n">
        <v>3</v>
      </c>
      <c r="C7" s="5" t="s">
        <v>34</v>
      </c>
      <c r="D7" s="17" t="s">
        <v>35</v>
      </c>
      <c r="E7" s="17" t="s">
        <v>36</v>
      </c>
    </row>
    <row r="8" customFormat="false" ht="60" hidden="false" customHeight="true" outlineLevel="0" collapsed="false">
      <c r="B8" s="18" t="n">
        <v>4</v>
      </c>
      <c r="C8" s="19" t="s">
        <v>37</v>
      </c>
      <c r="D8" s="20" t="s">
        <v>38</v>
      </c>
      <c r="E8" s="20" t="s">
        <v>39</v>
      </c>
    </row>
    <row r="11" customFormat="false" ht="16.15" hidden="false" customHeight="false" outlineLevel="0" collapsed="false">
      <c r="B11" s="21" t="s">
        <v>40</v>
      </c>
      <c r="C11" s="21"/>
      <c r="D11" s="21"/>
      <c r="E11" s="21"/>
    </row>
    <row r="12" customFormat="false" ht="15" hidden="false" customHeight="false" outlineLevel="0" collapsed="false">
      <c r="B12" s="22" t="s">
        <v>41</v>
      </c>
      <c r="C12" s="22"/>
      <c r="D12" s="22"/>
      <c r="E12" s="22"/>
    </row>
    <row r="13" customFormat="false" ht="15" hidden="false" customHeight="false" outlineLevel="0" collapsed="false">
      <c r="B13" s="22" t="s">
        <v>42</v>
      </c>
      <c r="C13" s="22"/>
      <c r="D13" s="22"/>
      <c r="E13" s="22"/>
    </row>
    <row r="14" customFormat="false" ht="15" hidden="false" customHeight="false" outlineLevel="0" collapsed="false">
      <c r="B14" s="22" t="s">
        <v>43</v>
      </c>
      <c r="C14" s="22"/>
      <c r="D14" s="22"/>
      <c r="E14" s="22"/>
    </row>
    <row r="15" customFormat="false" ht="15" hidden="false" customHeight="false" outlineLevel="0" collapsed="false">
      <c r="B15" s="22" t="s">
        <v>44</v>
      </c>
      <c r="C15" s="22"/>
      <c r="D15" s="22"/>
      <c r="E15" s="22"/>
    </row>
    <row r="16" customFormat="false" ht="15" hidden="false" customHeight="false" outlineLevel="0" collapsed="false">
      <c r="B16" s="22" t="s">
        <v>45</v>
      </c>
      <c r="C16" s="22"/>
      <c r="D16" s="22"/>
      <c r="E16" s="22"/>
    </row>
    <row r="17" customFormat="false" ht="15" hidden="false" customHeight="false" outlineLevel="0" collapsed="false">
      <c r="B17" s="22" t="s">
        <v>46</v>
      </c>
      <c r="C17" s="22"/>
      <c r="D17" s="22"/>
      <c r="E17" s="22"/>
    </row>
  </sheetData>
  <mergeCells count="8">
    <mergeCell ref="B2:E2"/>
    <mergeCell ref="B11:E11"/>
    <mergeCell ref="B12:E12"/>
    <mergeCell ref="B13:E13"/>
    <mergeCell ref="B14:E14"/>
    <mergeCell ref="B15:E15"/>
    <mergeCell ref="B16:E16"/>
    <mergeCell ref="B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7"/>
    <col collapsed="false" customWidth="true" hidden="false" outlineLevel="0" max="3" min="3" style="0" width="30"/>
    <col collapsed="false" customWidth="true" hidden="false" outlineLevel="0" max="4" min="4" style="0" width="9"/>
    <col collapsed="false" customWidth="true" hidden="false" outlineLevel="0" max="5" min="5" style="0" width="14"/>
    <col collapsed="false" customWidth="true" hidden="false" outlineLevel="0" max="6" min="6" style="0" width="60"/>
    <col collapsed="false" customWidth="true" hidden="false" outlineLevel="0" max="8" min="7" style="0" width="11"/>
    <col collapsed="false" customWidth="true" hidden="false" outlineLevel="0" max="9" min="9" style="0" width="7"/>
    <col collapsed="false" customWidth="true" hidden="false" outlineLevel="0" max="10" min="10" style="0" width="50"/>
    <col collapsed="false" customWidth="true" hidden="false" outlineLevel="0" max="11" min="11" style="0" width="11"/>
    <col collapsed="false" customWidth="true" hidden="false" outlineLevel="0" max="12" min="12" style="0" width="13"/>
  </cols>
  <sheetData>
    <row r="1" customFormat="false" ht="30" hidden="false" customHeight="true" outlineLevel="0" collapsed="false">
      <c r="A1" s="23" t="s">
        <v>47</v>
      </c>
      <c r="B1" s="23" t="s">
        <v>48</v>
      </c>
      <c r="C1" s="23" t="s">
        <v>49</v>
      </c>
      <c r="D1" s="23" t="s">
        <v>50</v>
      </c>
      <c r="E1" s="23" t="s">
        <v>51</v>
      </c>
      <c r="F1" s="23" t="s">
        <v>52</v>
      </c>
      <c r="G1" s="23" t="s">
        <v>53</v>
      </c>
      <c r="H1" s="23" t="s">
        <v>54</v>
      </c>
      <c r="I1" s="23" t="s">
        <v>55</v>
      </c>
      <c r="J1" s="23" t="s">
        <v>56</v>
      </c>
      <c r="K1" s="23" t="s">
        <v>57</v>
      </c>
      <c r="L1" s="23" t="s">
        <v>58</v>
      </c>
    </row>
    <row r="2" customFormat="false" ht="36" hidden="false" customHeight="true" outlineLevel="0" collapsed="false">
      <c r="A2" s="24" t="s">
        <v>59</v>
      </c>
      <c r="B2" s="25" t="s">
        <v>60</v>
      </c>
      <c r="C2" s="17" t="s">
        <v>61</v>
      </c>
      <c r="D2" s="25" t="s">
        <v>62</v>
      </c>
      <c r="E2" s="25" t="s">
        <v>63</v>
      </c>
      <c r="F2" s="6" t="s">
        <v>64</v>
      </c>
      <c r="G2" s="26"/>
      <c r="H2" s="26"/>
      <c r="I2" s="26" t="str">
        <f aca="false">IF(AND(ISNUMBER(G2),ISNUMBER(H2)),H2-G2,"")</f>
        <v/>
      </c>
      <c r="J2" s="27"/>
      <c r="K2" s="26"/>
      <c r="L2" s="26"/>
    </row>
    <row r="3" customFormat="false" ht="36" hidden="false" customHeight="true" outlineLevel="0" collapsed="false">
      <c r="A3" s="24" t="s">
        <v>59</v>
      </c>
      <c r="B3" s="25" t="s">
        <v>60</v>
      </c>
      <c r="C3" s="17" t="s">
        <v>61</v>
      </c>
      <c r="D3" s="25" t="s">
        <v>62</v>
      </c>
      <c r="E3" s="25" t="s">
        <v>65</v>
      </c>
      <c r="F3" s="6" t="s">
        <v>66</v>
      </c>
      <c r="G3" s="26"/>
      <c r="H3" s="26"/>
      <c r="I3" s="26" t="str">
        <f aca="false">IF(AND(ISNUMBER(G3),ISNUMBER(H3)),H3-G3,"")</f>
        <v/>
      </c>
      <c r="J3" s="27"/>
      <c r="K3" s="26"/>
      <c r="L3" s="26"/>
    </row>
    <row r="4" customFormat="false" ht="36" hidden="false" customHeight="true" outlineLevel="0" collapsed="false">
      <c r="A4" s="24" t="s">
        <v>59</v>
      </c>
      <c r="B4" s="25" t="s">
        <v>60</v>
      </c>
      <c r="C4" s="17" t="s">
        <v>61</v>
      </c>
      <c r="D4" s="25" t="s">
        <v>62</v>
      </c>
      <c r="E4" s="25" t="s">
        <v>67</v>
      </c>
      <c r="F4" s="6" t="s">
        <v>68</v>
      </c>
      <c r="G4" s="26"/>
      <c r="H4" s="26"/>
      <c r="I4" s="26" t="str">
        <f aca="false">IF(AND(ISNUMBER(G4),ISNUMBER(H4)),H4-G4,"")</f>
        <v/>
      </c>
      <c r="J4" s="27"/>
      <c r="K4" s="26"/>
      <c r="L4" s="26"/>
    </row>
    <row r="5" customFormat="false" ht="36" hidden="false" customHeight="true" outlineLevel="0" collapsed="false">
      <c r="A5" s="24" t="s">
        <v>59</v>
      </c>
      <c r="B5" s="25" t="s">
        <v>60</v>
      </c>
      <c r="C5" s="17" t="s">
        <v>61</v>
      </c>
      <c r="D5" s="25" t="s">
        <v>62</v>
      </c>
      <c r="E5" s="25" t="s">
        <v>69</v>
      </c>
      <c r="F5" s="6" t="s">
        <v>70</v>
      </c>
      <c r="G5" s="26"/>
      <c r="H5" s="26"/>
      <c r="I5" s="26" t="str">
        <f aca="false">IF(AND(ISNUMBER(G5),ISNUMBER(H5)),H5-G5,"")</f>
        <v/>
      </c>
      <c r="J5" s="27"/>
      <c r="K5" s="26"/>
      <c r="L5" s="26"/>
    </row>
    <row r="6" customFormat="false" ht="36" hidden="false" customHeight="true" outlineLevel="0" collapsed="false">
      <c r="A6" s="24" t="s">
        <v>59</v>
      </c>
      <c r="B6" s="25" t="s">
        <v>60</v>
      </c>
      <c r="C6" s="17" t="s">
        <v>61</v>
      </c>
      <c r="D6" s="25" t="s">
        <v>62</v>
      </c>
      <c r="E6" s="25" t="s">
        <v>71</v>
      </c>
      <c r="F6" s="6" t="s">
        <v>72</v>
      </c>
      <c r="G6" s="26"/>
      <c r="H6" s="26"/>
      <c r="I6" s="26" t="str">
        <f aca="false">IF(AND(ISNUMBER(G6),ISNUMBER(H6)),H6-G6,"")</f>
        <v/>
      </c>
      <c r="J6" s="27"/>
      <c r="K6" s="26"/>
      <c r="L6" s="26"/>
    </row>
    <row r="7" customFormat="false" ht="36" hidden="false" customHeight="true" outlineLevel="0" collapsed="false">
      <c r="A7" s="24" t="s">
        <v>59</v>
      </c>
      <c r="B7" s="25" t="s">
        <v>60</v>
      </c>
      <c r="C7" s="17" t="s">
        <v>73</v>
      </c>
      <c r="D7" s="25" t="s">
        <v>74</v>
      </c>
      <c r="E7" s="25" t="s">
        <v>75</v>
      </c>
      <c r="F7" s="6" t="s">
        <v>76</v>
      </c>
      <c r="G7" s="26"/>
      <c r="H7" s="26"/>
      <c r="I7" s="26" t="str">
        <f aca="false">IF(AND(ISNUMBER(G7),ISNUMBER(H7)),H7-G7,"")</f>
        <v/>
      </c>
      <c r="J7" s="27"/>
      <c r="K7" s="26"/>
      <c r="L7" s="26"/>
    </row>
    <row r="8" customFormat="false" ht="36" hidden="false" customHeight="true" outlineLevel="0" collapsed="false">
      <c r="A8" s="24" t="s">
        <v>59</v>
      </c>
      <c r="B8" s="25" t="s">
        <v>60</v>
      </c>
      <c r="C8" s="17" t="s">
        <v>73</v>
      </c>
      <c r="D8" s="25" t="s">
        <v>74</v>
      </c>
      <c r="E8" s="25" t="s">
        <v>77</v>
      </c>
      <c r="F8" s="6" t="s">
        <v>78</v>
      </c>
      <c r="G8" s="26"/>
      <c r="H8" s="26"/>
      <c r="I8" s="26" t="str">
        <f aca="false">IF(AND(ISNUMBER(G8),ISNUMBER(H8)),H8-G8,"")</f>
        <v/>
      </c>
      <c r="J8" s="27"/>
      <c r="K8" s="26"/>
      <c r="L8" s="26"/>
    </row>
    <row r="9" customFormat="false" ht="36" hidden="false" customHeight="true" outlineLevel="0" collapsed="false">
      <c r="A9" s="24" t="s">
        <v>59</v>
      </c>
      <c r="B9" s="25" t="s">
        <v>60</v>
      </c>
      <c r="C9" s="17" t="s">
        <v>73</v>
      </c>
      <c r="D9" s="25" t="s">
        <v>74</v>
      </c>
      <c r="E9" s="25" t="s">
        <v>79</v>
      </c>
      <c r="F9" s="6" t="s">
        <v>80</v>
      </c>
      <c r="G9" s="26"/>
      <c r="H9" s="26"/>
      <c r="I9" s="26" t="str">
        <f aca="false">IF(AND(ISNUMBER(G9),ISNUMBER(H9)),H9-G9,"")</f>
        <v/>
      </c>
      <c r="J9" s="27"/>
      <c r="K9" s="26"/>
      <c r="L9" s="26"/>
    </row>
    <row r="10" customFormat="false" ht="36" hidden="false" customHeight="true" outlineLevel="0" collapsed="false">
      <c r="A10" s="24" t="s">
        <v>59</v>
      </c>
      <c r="B10" s="25" t="s">
        <v>60</v>
      </c>
      <c r="C10" s="17" t="s">
        <v>73</v>
      </c>
      <c r="D10" s="25" t="s">
        <v>74</v>
      </c>
      <c r="E10" s="25" t="s">
        <v>81</v>
      </c>
      <c r="F10" s="6" t="s">
        <v>82</v>
      </c>
      <c r="G10" s="26"/>
      <c r="H10" s="26"/>
      <c r="I10" s="26" t="str">
        <f aca="false">IF(AND(ISNUMBER(G10),ISNUMBER(H10)),H10-G10,"")</f>
        <v/>
      </c>
      <c r="J10" s="27"/>
      <c r="K10" s="26"/>
      <c r="L10" s="26"/>
    </row>
    <row r="11" customFormat="false" ht="36" hidden="false" customHeight="true" outlineLevel="0" collapsed="false">
      <c r="A11" s="24" t="s">
        <v>59</v>
      </c>
      <c r="B11" s="25" t="s">
        <v>60</v>
      </c>
      <c r="C11" s="17" t="s">
        <v>73</v>
      </c>
      <c r="D11" s="25" t="s">
        <v>74</v>
      </c>
      <c r="E11" s="25" t="s">
        <v>83</v>
      </c>
      <c r="F11" s="6" t="s">
        <v>84</v>
      </c>
      <c r="G11" s="26"/>
      <c r="H11" s="26"/>
      <c r="I11" s="26" t="str">
        <f aca="false">IF(AND(ISNUMBER(G11),ISNUMBER(H11)),H11-G11,"")</f>
        <v/>
      </c>
      <c r="J11" s="27"/>
      <c r="K11" s="26"/>
      <c r="L11" s="26"/>
    </row>
    <row r="12" customFormat="false" ht="36" hidden="false" customHeight="true" outlineLevel="0" collapsed="false">
      <c r="A12" s="24" t="s">
        <v>59</v>
      </c>
      <c r="B12" s="25" t="s">
        <v>60</v>
      </c>
      <c r="C12" s="17" t="s">
        <v>73</v>
      </c>
      <c r="D12" s="25" t="s">
        <v>74</v>
      </c>
      <c r="E12" s="25" t="s">
        <v>85</v>
      </c>
      <c r="F12" s="6" t="s">
        <v>86</v>
      </c>
      <c r="G12" s="26"/>
      <c r="H12" s="26"/>
      <c r="I12" s="26" t="str">
        <f aca="false">IF(AND(ISNUMBER(G12),ISNUMBER(H12)),H12-G12,"")</f>
        <v/>
      </c>
      <c r="J12" s="27"/>
      <c r="K12" s="26"/>
      <c r="L12" s="26"/>
    </row>
    <row r="13" customFormat="false" ht="36" hidden="false" customHeight="true" outlineLevel="0" collapsed="false">
      <c r="A13" s="24" t="s">
        <v>59</v>
      </c>
      <c r="B13" s="25" t="s">
        <v>60</v>
      </c>
      <c r="C13" s="17" t="s">
        <v>73</v>
      </c>
      <c r="D13" s="25" t="s">
        <v>74</v>
      </c>
      <c r="E13" s="25" t="s">
        <v>87</v>
      </c>
      <c r="F13" s="6" t="s">
        <v>88</v>
      </c>
      <c r="G13" s="26"/>
      <c r="H13" s="26"/>
      <c r="I13" s="26" t="str">
        <f aca="false">IF(AND(ISNUMBER(G13),ISNUMBER(H13)),H13-G13,"")</f>
        <v/>
      </c>
      <c r="J13" s="27"/>
      <c r="K13" s="26"/>
      <c r="L13" s="26"/>
    </row>
    <row r="14" customFormat="false" ht="36" hidden="false" customHeight="true" outlineLevel="0" collapsed="false">
      <c r="A14" s="24" t="s">
        <v>59</v>
      </c>
      <c r="B14" s="25" t="s">
        <v>60</v>
      </c>
      <c r="C14" s="17" t="s">
        <v>89</v>
      </c>
      <c r="D14" s="25" t="s">
        <v>90</v>
      </c>
      <c r="E14" s="25" t="s">
        <v>91</v>
      </c>
      <c r="F14" s="6" t="s">
        <v>92</v>
      </c>
      <c r="G14" s="26"/>
      <c r="H14" s="26"/>
      <c r="I14" s="26" t="str">
        <f aca="false">IF(AND(ISNUMBER(G14),ISNUMBER(H14)),H14-G14,"")</f>
        <v/>
      </c>
      <c r="J14" s="27"/>
      <c r="K14" s="26"/>
      <c r="L14" s="26"/>
    </row>
    <row r="15" customFormat="false" ht="36" hidden="false" customHeight="true" outlineLevel="0" collapsed="false">
      <c r="A15" s="24" t="s">
        <v>59</v>
      </c>
      <c r="B15" s="25" t="s">
        <v>60</v>
      </c>
      <c r="C15" s="17" t="s">
        <v>89</v>
      </c>
      <c r="D15" s="25" t="s">
        <v>90</v>
      </c>
      <c r="E15" s="25" t="s">
        <v>93</v>
      </c>
      <c r="F15" s="6" t="s">
        <v>94</v>
      </c>
      <c r="G15" s="26"/>
      <c r="H15" s="26"/>
      <c r="I15" s="26" t="str">
        <f aca="false">IF(AND(ISNUMBER(G15),ISNUMBER(H15)),H15-G15,"")</f>
        <v/>
      </c>
      <c r="J15" s="27"/>
      <c r="K15" s="26"/>
      <c r="L15" s="26"/>
    </row>
    <row r="16" customFormat="false" ht="36" hidden="false" customHeight="true" outlineLevel="0" collapsed="false">
      <c r="A16" s="24" t="s">
        <v>59</v>
      </c>
      <c r="B16" s="25" t="s">
        <v>60</v>
      </c>
      <c r="C16" s="17" t="s">
        <v>89</v>
      </c>
      <c r="D16" s="25" t="s">
        <v>90</v>
      </c>
      <c r="E16" s="25" t="s">
        <v>95</v>
      </c>
      <c r="F16" s="6" t="s">
        <v>96</v>
      </c>
      <c r="G16" s="26"/>
      <c r="H16" s="26"/>
      <c r="I16" s="26" t="str">
        <f aca="false">IF(AND(ISNUMBER(G16),ISNUMBER(H16)),H16-G16,"")</f>
        <v/>
      </c>
      <c r="J16" s="27"/>
      <c r="K16" s="26"/>
      <c r="L16" s="26"/>
    </row>
    <row r="17" customFormat="false" ht="36" hidden="false" customHeight="true" outlineLevel="0" collapsed="false">
      <c r="A17" s="24" t="s">
        <v>59</v>
      </c>
      <c r="B17" s="25" t="s">
        <v>60</v>
      </c>
      <c r="C17" s="17" t="s">
        <v>89</v>
      </c>
      <c r="D17" s="25" t="s">
        <v>90</v>
      </c>
      <c r="E17" s="25" t="s">
        <v>97</v>
      </c>
      <c r="F17" s="6" t="s">
        <v>98</v>
      </c>
      <c r="G17" s="26"/>
      <c r="H17" s="26"/>
      <c r="I17" s="26" t="str">
        <f aca="false">IF(AND(ISNUMBER(G17),ISNUMBER(H17)),H17-G17,"")</f>
        <v/>
      </c>
      <c r="J17" s="27"/>
      <c r="K17" s="26"/>
      <c r="L17" s="26"/>
    </row>
    <row r="18" customFormat="false" ht="36" hidden="false" customHeight="true" outlineLevel="0" collapsed="false">
      <c r="A18" s="24" t="s">
        <v>59</v>
      </c>
      <c r="B18" s="25" t="s">
        <v>60</v>
      </c>
      <c r="C18" s="17" t="s">
        <v>99</v>
      </c>
      <c r="D18" s="25" t="s">
        <v>100</v>
      </c>
      <c r="E18" s="25" t="s">
        <v>101</v>
      </c>
      <c r="F18" s="6" t="s">
        <v>102</v>
      </c>
      <c r="G18" s="26"/>
      <c r="H18" s="26"/>
      <c r="I18" s="26" t="str">
        <f aca="false">IF(AND(ISNUMBER(G18),ISNUMBER(H18)),H18-G18,"")</f>
        <v/>
      </c>
      <c r="J18" s="27"/>
      <c r="K18" s="26"/>
      <c r="L18" s="26"/>
    </row>
    <row r="19" customFormat="false" ht="36" hidden="false" customHeight="true" outlineLevel="0" collapsed="false">
      <c r="A19" s="24" t="s">
        <v>59</v>
      </c>
      <c r="B19" s="25" t="s">
        <v>60</v>
      </c>
      <c r="C19" s="17" t="s">
        <v>99</v>
      </c>
      <c r="D19" s="25" t="s">
        <v>100</v>
      </c>
      <c r="E19" s="25" t="s">
        <v>103</v>
      </c>
      <c r="F19" s="6" t="s">
        <v>104</v>
      </c>
      <c r="G19" s="26"/>
      <c r="H19" s="26"/>
      <c r="I19" s="26" t="str">
        <f aca="false">IF(AND(ISNUMBER(G19),ISNUMBER(H19)),H19-G19,"")</f>
        <v/>
      </c>
      <c r="J19" s="27"/>
      <c r="K19" s="26"/>
      <c r="L19" s="26"/>
    </row>
    <row r="20" customFormat="false" ht="36" hidden="false" customHeight="true" outlineLevel="0" collapsed="false">
      <c r="A20" s="24" t="s">
        <v>59</v>
      </c>
      <c r="B20" s="25" t="s">
        <v>60</v>
      </c>
      <c r="C20" s="17" t="s">
        <v>105</v>
      </c>
      <c r="D20" s="25" t="s">
        <v>106</v>
      </c>
      <c r="E20" s="25" t="s">
        <v>107</v>
      </c>
      <c r="F20" s="6" t="s">
        <v>108</v>
      </c>
      <c r="G20" s="26"/>
      <c r="H20" s="26"/>
      <c r="I20" s="26" t="str">
        <f aca="false">IF(AND(ISNUMBER(G20),ISNUMBER(H20)),H20-G20,"")</f>
        <v/>
      </c>
      <c r="J20" s="27"/>
      <c r="K20" s="26"/>
      <c r="L20" s="26"/>
    </row>
    <row r="21" customFormat="false" ht="36" hidden="false" customHeight="true" outlineLevel="0" collapsed="false">
      <c r="A21" s="24" t="s">
        <v>59</v>
      </c>
      <c r="B21" s="25" t="s">
        <v>60</v>
      </c>
      <c r="C21" s="17" t="s">
        <v>105</v>
      </c>
      <c r="D21" s="25" t="s">
        <v>106</v>
      </c>
      <c r="E21" s="25" t="s">
        <v>109</v>
      </c>
      <c r="F21" s="6" t="s">
        <v>110</v>
      </c>
      <c r="G21" s="26"/>
      <c r="H21" s="26"/>
      <c r="I21" s="26" t="str">
        <f aca="false">IF(AND(ISNUMBER(G21),ISNUMBER(H21)),H21-G21,"")</f>
        <v/>
      </c>
      <c r="J21" s="27"/>
      <c r="K21" s="26"/>
      <c r="L21" s="26"/>
    </row>
    <row r="22" customFormat="false" ht="36" hidden="false" customHeight="true" outlineLevel="0" collapsed="false">
      <c r="A22" s="24" t="s">
        <v>59</v>
      </c>
      <c r="B22" s="25" t="s">
        <v>60</v>
      </c>
      <c r="C22" s="17" t="s">
        <v>105</v>
      </c>
      <c r="D22" s="25" t="s">
        <v>106</v>
      </c>
      <c r="E22" s="25" t="s">
        <v>111</v>
      </c>
      <c r="F22" s="6" t="s">
        <v>112</v>
      </c>
      <c r="G22" s="26"/>
      <c r="H22" s="26"/>
      <c r="I22" s="26" t="str">
        <f aca="false">IF(AND(ISNUMBER(G22),ISNUMBER(H22)),H22-G22,"")</f>
        <v/>
      </c>
      <c r="J22" s="27"/>
      <c r="K22" s="26"/>
      <c r="L22" s="26"/>
    </row>
    <row r="23" customFormat="false" ht="36" hidden="false" customHeight="true" outlineLevel="0" collapsed="false">
      <c r="A23" s="24" t="s">
        <v>59</v>
      </c>
      <c r="B23" s="25" t="s">
        <v>60</v>
      </c>
      <c r="C23" s="17" t="s">
        <v>113</v>
      </c>
      <c r="D23" s="25" t="s">
        <v>114</v>
      </c>
      <c r="E23" s="25" t="s">
        <v>115</v>
      </c>
      <c r="F23" s="6" t="s">
        <v>116</v>
      </c>
      <c r="G23" s="26"/>
      <c r="H23" s="26"/>
      <c r="I23" s="26" t="str">
        <f aca="false">IF(AND(ISNUMBER(G23),ISNUMBER(H23)),H23-G23,"")</f>
        <v/>
      </c>
      <c r="J23" s="27"/>
      <c r="K23" s="26"/>
      <c r="L23" s="26"/>
    </row>
    <row r="24" customFormat="false" ht="36" hidden="false" customHeight="true" outlineLevel="0" collapsed="false">
      <c r="A24" s="24" t="s">
        <v>59</v>
      </c>
      <c r="B24" s="25" t="s">
        <v>60</v>
      </c>
      <c r="C24" s="17" t="s">
        <v>113</v>
      </c>
      <c r="D24" s="25" t="s">
        <v>114</v>
      </c>
      <c r="E24" s="25" t="s">
        <v>117</v>
      </c>
      <c r="F24" s="6" t="s">
        <v>118</v>
      </c>
      <c r="G24" s="26"/>
      <c r="H24" s="26"/>
      <c r="I24" s="26" t="str">
        <f aca="false">IF(AND(ISNUMBER(G24),ISNUMBER(H24)),H24-G24,"")</f>
        <v/>
      </c>
      <c r="J24" s="27"/>
      <c r="K24" s="26"/>
      <c r="L24" s="26"/>
    </row>
    <row r="25" customFormat="false" ht="36" hidden="false" customHeight="true" outlineLevel="0" collapsed="false">
      <c r="A25" s="24" t="s">
        <v>59</v>
      </c>
      <c r="B25" s="25" t="s">
        <v>60</v>
      </c>
      <c r="C25" s="17" t="s">
        <v>113</v>
      </c>
      <c r="D25" s="25" t="s">
        <v>114</v>
      </c>
      <c r="E25" s="25" t="s">
        <v>119</v>
      </c>
      <c r="F25" s="6" t="s">
        <v>120</v>
      </c>
      <c r="G25" s="26"/>
      <c r="H25" s="26"/>
      <c r="I25" s="26" t="str">
        <f aca="false">IF(AND(ISNUMBER(G25),ISNUMBER(H25)),H25-G25,"")</f>
        <v/>
      </c>
      <c r="J25" s="27"/>
      <c r="K25" s="26"/>
      <c r="L25" s="26"/>
    </row>
    <row r="26" customFormat="false" ht="36" hidden="false" customHeight="true" outlineLevel="0" collapsed="false">
      <c r="A26" s="24" t="s">
        <v>59</v>
      </c>
      <c r="B26" s="25" t="s">
        <v>60</v>
      </c>
      <c r="C26" s="17" t="s">
        <v>113</v>
      </c>
      <c r="D26" s="25" t="s">
        <v>114</v>
      </c>
      <c r="E26" s="25" t="s">
        <v>121</v>
      </c>
      <c r="F26" s="6" t="s">
        <v>122</v>
      </c>
      <c r="G26" s="26"/>
      <c r="H26" s="26"/>
      <c r="I26" s="26" t="str">
        <f aca="false">IF(AND(ISNUMBER(G26),ISNUMBER(H26)),H26-G26,"")</f>
        <v/>
      </c>
      <c r="J26" s="27"/>
      <c r="K26" s="26"/>
      <c r="L26" s="26"/>
    </row>
    <row r="27" customFormat="false" ht="36" hidden="false" customHeight="true" outlineLevel="0" collapsed="false">
      <c r="A27" s="24" t="s">
        <v>59</v>
      </c>
      <c r="B27" s="25" t="s">
        <v>60</v>
      </c>
      <c r="C27" s="17" t="s">
        <v>113</v>
      </c>
      <c r="D27" s="25" t="s">
        <v>114</v>
      </c>
      <c r="E27" s="25" t="s">
        <v>123</v>
      </c>
      <c r="F27" s="6" t="s">
        <v>124</v>
      </c>
      <c r="G27" s="26"/>
      <c r="H27" s="26"/>
      <c r="I27" s="26" t="str">
        <f aca="false">IF(AND(ISNUMBER(G27),ISNUMBER(H27)),H27-G27,"")</f>
        <v/>
      </c>
      <c r="J27" s="27"/>
      <c r="K27" s="26"/>
      <c r="L27" s="26"/>
    </row>
    <row r="28" customFormat="false" ht="36" hidden="false" customHeight="true" outlineLevel="0" collapsed="false">
      <c r="A28" s="24" t="s">
        <v>59</v>
      </c>
      <c r="B28" s="25" t="s">
        <v>60</v>
      </c>
      <c r="C28" s="17" t="s">
        <v>113</v>
      </c>
      <c r="D28" s="25" t="s">
        <v>114</v>
      </c>
      <c r="E28" s="25" t="s">
        <v>125</v>
      </c>
      <c r="F28" s="6" t="s">
        <v>126</v>
      </c>
      <c r="G28" s="26"/>
      <c r="H28" s="26"/>
      <c r="I28" s="26" t="str">
        <f aca="false">IF(AND(ISNUMBER(G28),ISNUMBER(H28)),H28-G28,"")</f>
        <v/>
      </c>
      <c r="J28" s="27"/>
      <c r="K28" s="26"/>
      <c r="L28" s="26"/>
    </row>
    <row r="29" customFormat="false" ht="36" hidden="false" customHeight="true" outlineLevel="0" collapsed="false">
      <c r="A29" s="24" t="s">
        <v>59</v>
      </c>
      <c r="B29" s="25" t="s">
        <v>60</v>
      </c>
      <c r="C29" s="17" t="s">
        <v>113</v>
      </c>
      <c r="D29" s="25" t="s">
        <v>114</v>
      </c>
      <c r="E29" s="25" t="s">
        <v>127</v>
      </c>
      <c r="F29" s="6" t="s">
        <v>128</v>
      </c>
      <c r="G29" s="26"/>
      <c r="H29" s="26"/>
      <c r="I29" s="26" t="str">
        <f aca="false">IF(AND(ISNUMBER(G29),ISNUMBER(H29)),H29-G29,"")</f>
        <v/>
      </c>
      <c r="J29" s="27"/>
      <c r="K29" s="26"/>
      <c r="L29" s="26"/>
    </row>
    <row r="30" customFormat="false" ht="36" hidden="false" customHeight="true" outlineLevel="0" collapsed="false">
      <c r="A30" s="24" t="s">
        <v>59</v>
      </c>
      <c r="B30" s="25" t="s">
        <v>60</v>
      </c>
      <c r="C30" s="17" t="s">
        <v>113</v>
      </c>
      <c r="D30" s="25" t="s">
        <v>114</v>
      </c>
      <c r="E30" s="25" t="s">
        <v>129</v>
      </c>
      <c r="F30" s="6" t="s">
        <v>130</v>
      </c>
      <c r="G30" s="26"/>
      <c r="H30" s="26"/>
      <c r="I30" s="26" t="str">
        <f aca="false">IF(AND(ISNUMBER(G30),ISNUMBER(H30)),H30-G30,"")</f>
        <v/>
      </c>
      <c r="J30" s="27"/>
      <c r="K30" s="26"/>
      <c r="L30" s="26"/>
    </row>
    <row r="31" customFormat="false" ht="36" hidden="false" customHeight="true" outlineLevel="0" collapsed="false">
      <c r="A31" s="24" t="s">
        <v>59</v>
      </c>
      <c r="B31" s="25" t="s">
        <v>60</v>
      </c>
      <c r="C31" s="17" t="s">
        <v>113</v>
      </c>
      <c r="D31" s="25" t="s">
        <v>114</v>
      </c>
      <c r="E31" s="25" t="s">
        <v>131</v>
      </c>
      <c r="F31" s="6" t="s">
        <v>132</v>
      </c>
      <c r="G31" s="26"/>
      <c r="H31" s="26"/>
      <c r="I31" s="26" t="str">
        <f aca="false">IF(AND(ISNUMBER(G31),ISNUMBER(H31)),H31-G31,"")</f>
        <v/>
      </c>
      <c r="J31" s="27"/>
      <c r="K31" s="26"/>
      <c r="L31" s="26"/>
    </row>
    <row r="32" customFormat="false" ht="36" hidden="false" customHeight="true" outlineLevel="0" collapsed="false">
      <c r="A32" s="24" t="s">
        <v>59</v>
      </c>
      <c r="B32" s="25" t="s">
        <v>60</v>
      </c>
      <c r="C32" s="17" t="s">
        <v>113</v>
      </c>
      <c r="D32" s="25" t="s">
        <v>114</v>
      </c>
      <c r="E32" s="25" t="s">
        <v>133</v>
      </c>
      <c r="F32" s="6" t="s">
        <v>134</v>
      </c>
      <c r="G32" s="26"/>
      <c r="H32" s="26"/>
      <c r="I32" s="26" t="str">
        <f aca="false">IF(AND(ISNUMBER(G32),ISNUMBER(H32)),H32-G32,"")</f>
        <v/>
      </c>
      <c r="J32" s="27"/>
      <c r="K32" s="26"/>
      <c r="L32" s="26"/>
    </row>
    <row r="33" customFormat="false" ht="36" hidden="false" customHeight="true" outlineLevel="0" collapsed="false">
      <c r="A33" s="28" t="s">
        <v>135</v>
      </c>
      <c r="B33" s="29" t="s">
        <v>136</v>
      </c>
      <c r="C33" s="20" t="s">
        <v>137</v>
      </c>
      <c r="D33" s="29" t="s">
        <v>138</v>
      </c>
      <c r="E33" s="29" t="s">
        <v>139</v>
      </c>
      <c r="F33" s="6" t="s">
        <v>140</v>
      </c>
      <c r="G33" s="26"/>
      <c r="H33" s="26"/>
      <c r="I33" s="26" t="str">
        <f aca="false">IF(AND(ISNUMBER(G33),ISNUMBER(H33)),H33-G33,"")</f>
        <v/>
      </c>
      <c r="J33" s="27"/>
      <c r="K33" s="26"/>
      <c r="L33" s="26"/>
    </row>
    <row r="34" customFormat="false" ht="36" hidden="false" customHeight="true" outlineLevel="0" collapsed="false">
      <c r="A34" s="28" t="s">
        <v>135</v>
      </c>
      <c r="B34" s="29" t="s">
        <v>136</v>
      </c>
      <c r="C34" s="20" t="s">
        <v>137</v>
      </c>
      <c r="D34" s="29" t="s">
        <v>138</v>
      </c>
      <c r="E34" s="29" t="s">
        <v>141</v>
      </c>
      <c r="F34" s="6" t="s">
        <v>142</v>
      </c>
      <c r="G34" s="26"/>
      <c r="H34" s="26"/>
      <c r="I34" s="26" t="str">
        <f aca="false">IF(AND(ISNUMBER(G34),ISNUMBER(H34)),H34-G34,"")</f>
        <v/>
      </c>
      <c r="J34" s="27"/>
      <c r="K34" s="26"/>
      <c r="L34" s="26"/>
    </row>
    <row r="35" customFormat="false" ht="36" hidden="false" customHeight="true" outlineLevel="0" collapsed="false">
      <c r="A35" s="28" t="s">
        <v>135</v>
      </c>
      <c r="B35" s="29" t="s">
        <v>136</v>
      </c>
      <c r="C35" s="20" t="s">
        <v>137</v>
      </c>
      <c r="D35" s="29" t="s">
        <v>138</v>
      </c>
      <c r="E35" s="29" t="s">
        <v>143</v>
      </c>
      <c r="F35" s="6" t="s">
        <v>144</v>
      </c>
      <c r="G35" s="26"/>
      <c r="H35" s="26"/>
      <c r="I35" s="26" t="str">
        <f aca="false">IF(AND(ISNUMBER(G35),ISNUMBER(H35)),H35-G35,"")</f>
        <v/>
      </c>
      <c r="J35" s="27"/>
      <c r="K35" s="26"/>
      <c r="L35" s="26"/>
    </row>
    <row r="36" customFormat="false" ht="36" hidden="false" customHeight="true" outlineLevel="0" collapsed="false">
      <c r="A36" s="28" t="s">
        <v>135</v>
      </c>
      <c r="B36" s="29" t="s">
        <v>136</v>
      </c>
      <c r="C36" s="20" t="s">
        <v>137</v>
      </c>
      <c r="D36" s="29" t="s">
        <v>138</v>
      </c>
      <c r="E36" s="29" t="s">
        <v>145</v>
      </c>
      <c r="F36" s="6" t="s">
        <v>146</v>
      </c>
      <c r="G36" s="26"/>
      <c r="H36" s="26"/>
      <c r="I36" s="26" t="str">
        <f aca="false">IF(AND(ISNUMBER(G36),ISNUMBER(H36)),H36-G36,"")</f>
        <v/>
      </c>
      <c r="J36" s="27"/>
      <c r="K36" s="26"/>
      <c r="L36" s="26"/>
    </row>
    <row r="37" customFormat="false" ht="36" hidden="false" customHeight="true" outlineLevel="0" collapsed="false">
      <c r="A37" s="28" t="s">
        <v>135</v>
      </c>
      <c r="B37" s="29" t="s">
        <v>136</v>
      </c>
      <c r="C37" s="20" t="s">
        <v>137</v>
      </c>
      <c r="D37" s="29" t="s">
        <v>138</v>
      </c>
      <c r="E37" s="29" t="s">
        <v>147</v>
      </c>
      <c r="F37" s="6" t="s">
        <v>148</v>
      </c>
      <c r="G37" s="26"/>
      <c r="H37" s="26"/>
      <c r="I37" s="26" t="str">
        <f aca="false">IF(AND(ISNUMBER(G37),ISNUMBER(H37)),H37-G37,"")</f>
        <v/>
      </c>
      <c r="J37" s="27"/>
      <c r="K37" s="26"/>
      <c r="L37" s="26"/>
    </row>
    <row r="38" customFormat="false" ht="36" hidden="false" customHeight="true" outlineLevel="0" collapsed="false">
      <c r="A38" s="28" t="s">
        <v>135</v>
      </c>
      <c r="B38" s="29" t="s">
        <v>136</v>
      </c>
      <c r="C38" s="20" t="s">
        <v>137</v>
      </c>
      <c r="D38" s="29" t="s">
        <v>138</v>
      </c>
      <c r="E38" s="29" t="s">
        <v>149</v>
      </c>
      <c r="F38" s="6" t="s">
        <v>150</v>
      </c>
      <c r="G38" s="26"/>
      <c r="H38" s="26"/>
      <c r="I38" s="26" t="str">
        <f aca="false">IF(AND(ISNUMBER(G38),ISNUMBER(H38)),H38-G38,"")</f>
        <v/>
      </c>
      <c r="J38" s="27"/>
      <c r="K38" s="26"/>
      <c r="L38" s="26"/>
    </row>
    <row r="39" customFormat="false" ht="36" hidden="false" customHeight="true" outlineLevel="0" collapsed="false">
      <c r="A39" s="28" t="s">
        <v>135</v>
      </c>
      <c r="B39" s="29" t="s">
        <v>136</v>
      </c>
      <c r="C39" s="20" t="s">
        <v>137</v>
      </c>
      <c r="D39" s="29" t="s">
        <v>138</v>
      </c>
      <c r="E39" s="29" t="s">
        <v>151</v>
      </c>
      <c r="F39" s="6" t="s">
        <v>152</v>
      </c>
      <c r="G39" s="26"/>
      <c r="H39" s="26"/>
      <c r="I39" s="26" t="str">
        <f aca="false">IF(AND(ISNUMBER(G39),ISNUMBER(H39)),H39-G39,"")</f>
        <v/>
      </c>
      <c r="J39" s="27"/>
      <c r="K39" s="26"/>
      <c r="L39" s="26"/>
    </row>
    <row r="40" customFormat="false" ht="36" hidden="false" customHeight="true" outlineLevel="0" collapsed="false">
      <c r="A40" s="28" t="s">
        <v>135</v>
      </c>
      <c r="B40" s="29" t="s">
        <v>136</v>
      </c>
      <c r="C40" s="20" t="s">
        <v>153</v>
      </c>
      <c r="D40" s="29" t="s">
        <v>154</v>
      </c>
      <c r="E40" s="29" t="s">
        <v>155</v>
      </c>
      <c r="F40" s="6" t="s">
        <v>156</v>
      </c>
      <c r="G40" s="26"/>
      <c r="H40" s="26"/>
      <c r="I40" s="26" t="str">
        <f aca="false">IF(AND(ISNUMBER(G40),ISNUMBER(H40)),H40-G40,"")</f>
        <v/>
      </c>
      <c r="J40" s="27"/>
      <c r="K40" s="26"/>
      <c r="L40" s="26"/>
    </row>
    <row r="41" customFormat="false" ht="36" hidden="false" customHeight="true" outlineLevel="0" collapsed="false">
      <c r="A41" s="28" t="s">
        <v>135</v>
      </c>
      <c r="B41" s="29" t="s">
        <v>136</v>
      </c>
      <c r="C41" s="20" t="s">
        <v>153</v>
      </c>
      <c r="D41" s="29" t="s">
        <v>154</v>
      </c>
      <c r="E41" s="29" t="s">
        <v>157</v>
      </c>
      <c r="F41" s="6" t="s">
        <v>158</v>
      </c>
      <c r="G41" s="26"/>
      <c r="H41" s="26"/>
      <c r="I41" s="26" t="str">
        <f aca="false">IF(AND(ISNUMBER(G41),ISNUMBER(H41)),H41-G41,"")</f>
        <v/>
      </c>
      <c r="J41" s="27"/>
      <c r="K41" s="26"/>
      <c r="L41" s="26"/>
    </row>
    <row r="42" customFormat="false" ht="36" hidden="false" customHeight="true" outlineLevel="0" collapsed="false">
      <c r="A42" s="28" t="s">
        <v>135</v>
      </c>
      <c r="B42" s="29" t="s">
        <v>136</v>
      </c>
      <c r="C42" s="20" t="s">
        <v>153</v>
      </c>
      <c r="D42" s="29" t="s">
        <v>154</v>
      </c>
      <c r="E42" s="29" t="s">
        <v>159</v>
      </c>
      <c r="F42" s="6" t="s">
        <v>160</v>
      </c>
      <c r="G42" s="26"/>
      <c r="H42" s="26"/>
      <c r="I42" s="26" t="str">
        <f aca="false">IF(AND(ISNUMBER(G42),ISNUMBER(H42)),H42-G42,"")</f>
        <v/>
      </c>
      <c r="J42" s="27"/>
      <c r="K42" s="26"/>
      <c r="L42" s="26"/>
    </row>
    <row r="43" customFormat="false" ht="36" hidden="false" customHeight="true" outlineLevel="0" collapsed="false">
      <c r="A43" s="28" t="s">
        <v>135</v>
      </c>
      <c r="B43" s="29" t="s">
        <v>136</v>
      </c>
      <c r="C43" s="20" t="s">
        <v>153</v>
      </c>
      <c r="D43" s="29" t="s">
        <v>154</v>
      </c>
      <c r="E43" s="29" t="s">
        <v>161</v>
      </c>
      <c r="F43" s="6" t="s">
        <v>162</v>
      </c>
      <c r="G43" s="26"/>
      <c r="H43" s="26"/>
      <c r="I43" s="26" t="str">
        <f aca="false">IF(AND(ISNUMBER(G43),ISNUMBER(H43)),H43-G43,"")</f>
        <v/>
      </c>
      <c r="J43" s="27"/>
      <c r="K43" s="26"/>
      <c r="L43" s="26"/>
    </row>
    <row r="44" customFormat="false" ht="36" hidden="false" customHeight="true" outlineLevel="0" collapsed="false">
      <c r="A44" s="28" t="s">
        <v>135</v>
      </c>
      <c r="B44" s="29" t="s">
        <v>136</v>
      </c>
      <c r="C44" s="20" t="s">
        <v>153</v>
      </c>
      <c r="D44" s="29" t="s">
        <v>154</v>
      </c>
      <c r="E44" s="29" t="s">
        <v>163</v>
      </c>
      <c r="F44" s="6" t="s">
        <v>164</v>
      </c>
      <c r="G44" s="26"/>
      <c r="H44" s="26"/>
      <c r="I44" s="26" t="str">
        <f aca="false">IF(AND(ISNUMBER(G44),ISNUMBER(H44)),H44-G44,"")</f>
        <v/>
      </c>
      <c r="J44" s="27"/>
      <c r="K44" s="26"/>
      <c r="L44" s="26"/>
    </row>
    <row r="45" customFormat="false" ht="36" hidden="false" customHeight="true" outlineLevel="0" collapsed="false">
      <c r="A45" s="28" t="s">
        <v>135</v>
      </c>
      <c r="B45" s="29" t="s">
        <v>136</v>
      </c>
      <c r="C45" s="20" t="s">
        <v>153</v>
      </c>
      <c r="D45" s="29" t="s">
        <v>154</v>
      </c>
      <c r="E45" s="29" t="s">
        <v>165</v>
      </c>
      <c r="F45" s="6" t="s">
        <v>166</v>
      </c>
      <c r="G45" s="26"/>
      <c r="H45" s="26"/>
      <c r="I45" s="26" t="str">
        <f aca="false">IF(AND(ISNUMBER(G45),ISNUMBER(H45)),H45-G45,"")</f>
        <v/>
      </c>
      <c r="J45" s="27"/>
      <c r="K45" s="26"/>
      <c r="L45" s="26"/>
    </row>
    <row r="46" customFormat="false" ht="36" hidden="false" customHeight="true" outlineLevel="0" collapsed="false">
      <c r="A46" s="28" t="s">
        <v>135</v>
      </c>
      <c r="B46" s="29" t="s">
        <v>136</v>
      </c>
      <c r="C46" s="20" t="s">
        <v>153</v>
      </c>
      <c r="D46" s="29" t="s">
        <v>154</v>
      </c>
      <c r="E46" s="29" t="s">
        <v>167</v>
      </c>
      <c r="F46" s="6" t="s">
        <v>168</v>
      </c>
      <c r="G46" s="26"/>
      <c r="H46" s="26"/>
      <c r="I46" s="26" t="str">
        <f aca="false">IF(AND(ISNUMBER(G46),ISNUMBER(H46)),H46-G46,"")</f>
        <v/>
      </c>
      <c r="J46" s="27"/>
      <c r="K46" s="26"/>
      <c r="L46" s="26"/>
    </row>
    <row r="47" customFormat="false" ht="36" hidden="false" customHeight="true" outlineLevel="0" collapsed="false">
      <c r="A47" s="28" t="s">
        <v>135</v>
      </c>
      <c r="B47" s="29" t="s">
        <v>136</v>
      </c>
      <c r="C47" s="20" t="s">
        <v>153</v>
      </c>
      <c r="D47" s="29" t="s">
        <v>154</v>
      </c>
      <c r="E47" s="29" t="s">
        <v>169</v>
      </c>
      <c r="F47" s="6" t="s">
        <v>170</v>
      </c>
      <c r="G47" s="26"/>
      <c r="H47" s="26"/>
      <c r="I47" s="26" t="str">
        <f aca="false">IF(AND(ISNUMBER(G47),ISNUMBER(H47)),H47-G47,"")</f>
        <v/>
      </c>
      <c r="J47" s="27"/>
      <c r="K47" s="26"/>
      <c r="L47" s="26"/>
    </row>
    <row r="48" customFormat="false" ht="36" hidden="false" customHeight="true" outlineLevel="0" collapsed="false">
      <c r="A48" s="28" t="s">
        <v>135</v>
      </c>
      <c r="B48" s="29" t="s">
        <v>136</v>
      </c>
      <c r="C48" s="20" t="s">
        <v>153</v>
      </c>
      <c r="D48" s="29" t="s">
        <v>154</v>
      </c>
      <c r="E48" s="29" t="s">
        <v>171</v>
      </c>
      <c r="F48" s="6" t="s">
        <v>172</v>
      </c>
      <c r="G48" s="26"/>
      <c r="H48" s="26"/>
      <c r="I48" s="26" t="str">
        <f aca="false">IF(AND(ISNUMBER(G48),ISNUMBER(H48)),H48-G48,"")</f>
        <v/>
      </c>
      <c r="J48" s="27"/>
      <c r="K48" s="26"/>
      <c r="L48" s="26"/>
    </row>
    <row r="49" customFormat="false" ht="36" hidden="false" customHeight="true" outlineLevel="0" collapsed="false">
      <c r="A49" s="28" t="s">
        <v>135</v>
      </c>
      <c r="B49" s="29" t="s">
        <v>136</v>
      </c>
      <c r="C49" s="20" t="s">
        <v>153</v>
      </c>
      <c r="D49" s="29" t="s">
        <v>154</v>
      </c>
      <c r="E49" s="29" t="s">
        <v>173</v>
      </c>
      <c r="F49" s="6" t="s">
        <v>174</v>
      </c>
      <c r="G49" s="26"/>
      <c r="H49" s="26"/>
      <c r="I49" s="26" t="str">
        <f aca="false">IF(AND(ISNUMBER(G49),ISNUMBER(H49)),H49-G49,"")</f>
        <v/>
      </c>
      <c r="J49" s="27"/>
      <c r="K49" s="26"/>
      <c r="L49" s="26"/>
    </row>
    <row r="50" customFormat="false" ht="36" hidden="false" customHeight="true" outlineLevel="0" collapsed="false">
      <c r="A50" s="28" t="s">
        <v>135</v>
      </c>
      <c r="B50" s="29" t="s">
        <v>136</v>
      </c>
      <c r="C50" s="20" t="s">
        <v>175</v>
      </c>
      <c r="D50" s="29" t="s">
        <v>176</v>
      </c>
      <c r="E50" s="29" t="s">
        <v>177</v>
      </c>
      <c r="F50" s="6" t="s">
        <v>178</v>
      </c>
      <c r="G50" s="26"/>
      <c r="H50" s="26"/>
      <c r="I50" s="26" t="str">
        <f aca="false">IF(AND(ISNUMBER(G50),ISNUMBER(H50)),H50-G50,"")</f>
        <v/>
      </c>
      <c r="J50" s="27"/>
      <c r="K50" s="26"/>
      <c r="L50" s="26"/>
    </row>
    <row r="51" customFormat="false" ht="36" hidden="false" customHeight="true" outlineLevel="0" collapsed="false">
      <c r="A51" s="28" t="s">
        <v>135</v>
      </c>
      <c r="B51" s="29" t="s">
        <v>136</v>
      </c>
      <c r="C51" s="20" t="s">
        <v>175</v>
      </c>
      <c r="D51" s="29" t="s">
        <v>176</v>
      </c>
      <c r="E51" s="29" t="s">
        <v>179</v>
      </c>
      <c r="F51" s="6" t="s">
        <v>180</v>
      </c>
      <c r="G51" s="26"/>
      <c r="H51" s="26"/>
      <c r="I51" s="26" t="str">
        <f aca="false">IF(AND(ISNUMBER(G51),ISNUMBER(H51)),H51-G51,"")</f>
        <v/>
      </c>
      <c r="J51" s="27"/>
      <c r="K51" s="26"/>
      <c r="L51" s="26"/>
    </row>
    <row r="52" customFormat="false" ht="36" hidden="false" customHeight="true" outlineLevel="0" collapsed="false">
      <c r="A52" s="28" t="s">
        <v>135</v>
      </c>
      <c r="B52" s="29" t="s">
        <v>136</v>
      </c>
      <c r="C52" s="20" t="s">
        <v>175</v>
      </c>
      <c r="D52" s="29" t="s">
        <v>176</v>
      </c>
      <c r="E52" s="29" t="s">
        <v>181</v>
      </c>
      <c r="F52" s="6" t="s">
        <v>182</v>
      </c>
      <c r="G52" s="26"/>
      <c r="H52" s="26"/>
      <c r="I52" s="26" t="str">
        <f aca="false">IF(AND(ISNUMBER(G52),ISNUMBER(H52)),H52-G52,"")</f>
        <v/>
      </c>
      <c r="J52" s="27"/>
      <c r="K52" s="26"/>
      <c r="L52" s="26"/>
    </row>
    <row r="53" customFormat="false" ht="36" hidden="false" customHeight="true" outlineLevel="0" collapsed="false">
      <c r="A53" s="28" t="s">
        <v>135</v>
      </c>
      <c r="B53" s="29" t="s">
        <v>136</v>
      </c>
      <c r="C53" s="20" t="s">
        <v>175</v>
      </c>
      <c r="D53" s="29" t="s">
        <v>176</v>
      </c>
      <c r="E53" s="29" t="s">
        <v>183</v>
      </c>
      <c r="F53" s="6" t="s">
        <v>184</v>
      </c>
      <c r="G53" s="26"/>
      <c r="H53" s="26"/>
      <c r="I53" s="26" t="str">
        <f aca="false">IF(AND(ISNUMBER(G53),ISNUMBER(H53)),H53-G53,"")</f>
        <v/>
      </c>
      <c r="J53" s="27"/>
      <c r="K53" s="26"/>
      <c r="L53" s="26"/>
    </row>
    <row r="54" customFormat="false" ht="36" hidden="false" customHeight="true" outlineLevel="0" collapsed="false">
      <c r="A54" s="30" t="s">
        <v>185</v>
      </c>
      <c r="B54" s="31" t="s">
        <v>186</v>
      </c>
      <c r="C54" s="15" t="s">
        <v>187</v>
      </c>
      <c r="D54" s="31" t="s">
        <v>188</v>
      </c>
      <c r="E54" s="31" t="s">
        <v>189</v>
      </c>
      <c r="F54" s="6" t="s">
        <v>190</v>
      </c>
      <c r="G54" s="26"/>
      <c r="H54" s="26"/>
      <c r="I54" s="26" t="str">
        <f aca="false">IF(AND(ISNUMBER(G54),ISNUMBER(H54)),H54-G54,"")</f>
        <v/>
      </c>
      <c r="J54" s="27"/>
      <c r="K54" s="26"/>
      <c r="L54" s="26"/>
    </row>
    <row r="55" customFormat="false" ht="36" hidden="false" customHeight="true" outlineLevel="0" collapsed="false">
      <c r="A55" s="30" t="s">
        <v>185</v>
      </c>
      <c r="B55" s="31" t="s">
        <v>186</v>
      </c>
      <c r="C55" s="15" t="s">
        <v>187</v>
      </c>
      <c r="D55" s="31" t="s">
        <v>188</v>
      </c>
      <c r="E55" s="31" t="s">
        <v>191</v>
      </c>
      <c r="F55" s="6" t="s">
        <v>192</v>
      </c>
      <c r="G55" s="26"/>
      <c r="H55" s="26"/>
      <c r="I55" s="26" t="str">
        <f aca="false">IF(AND(ISNUMBER(G55),ISNUMBER(H55)),H55-G55,"")</f>
        <v/>
      </c>
      <c r="J55" s="27"/>
      <c r="K55" s="26"/>
      <c r="L55" s="26"/>
    </row>
    <row r="56" customFormat="false" ht="36" hidden="false" customHeight="true" outlineLevel="0" collapsed="false">
      <c r="A56" s="30" t="s">
        <v>185</v>
      </c>
      <c r="B56" s="31" t="s">
        <v>186</v>
      </c>
      <c r="C56" s="15" t="s">
        <v>187</v>
      </c>
      <c r="D56" s="31" t="s">
        <v>188</v>
      </c>
      <c r="E56" s="31" t="s">
        <v>193</v>
      </c>
      <c r="F56" s="6" t="s">
        <v>194</v>
      </c>
      <c r="G56" s="26"/>
      <c r="H56" s="26"/>
      <c r="I56" s="26" t="str">
        <f aca="false">IF(AND(ISNUMBER(G56),ISNUMBER(H56)),H56-G56,"")</f>
        <v/>
      </c>
      <c r="J56" s="27"/>
      <c r="K56" s="26"/>
      <c r="L56" s="26"/>
    </row>
    <row r="57" customFormat="false" ht="36" hidden="false" customHeight="true" outlineLevel="0" collapsed="false">
      <c r="A57" s="30" t="s">
        <v>185</v>
      </c>
      <c r="B57" s="31" t="s">
        <v>186</v>
      </c>
      <c r="C57" s="15" t="s">
        <v>187</v>
      </c>
      <c r="D57" s="31" t="s">
        <v>188</v>
      </c>
      <c r="E57" s="31" t="s">
        <v>195</v>
      </c>
      <c r="F57" s="6" t="s">
        <v>196</v>
      </c>
      <c r="G57" s="26"/>
      <c r="H57" s="26"/>
      <c r="I57" s="26" t="str">
        <f aca="false">IF(AND(ISNUMBER(G57),ISNUMBER(H57)),H57-G57,"")</f>
        <v/>
      </c>
      <c r="J57" s="27"/>
      <c r="K57" s="26"/>
      <c r="L57" s="26"/>
    </row>
    <row r="58" customFormat="false" ht="36" hidden="false" customHeight="true" outlineLevel="0" collapsed="false">
      <c r="A58" s="30" t="s">
        <v>185</v>
      </c>
      <c r="B58" s="31" t="s">
        <v>186</v>
      </c>
      <c r="C58" s="15" t="s">
        <v>187</v>
      </c>
      <c r="D58" s="31" t="s">
        <v>188</v>
      </c>
      <c r="E58" s="31" t="s">
        <v>197</v>
      </c>
      <c r="F58" s="6" t="s">
        <v>198</v>
      </c>
      <c r="G58" s="26"/>
      <c r="H58" s="26"/>
      <c r="I58" s="26" t="str">
        <f aca="false">IF(AND(ISNUMBER(G58),ISNUMBER(H58)),H58-G58,"")</f>
        <v/>
      </c>
      <c r="J58" s="27"/>
      <c r="K58" s="26"/>
      <c r="L58" s="26"/>
    </row>
    <row r="59" customFormat="false" ht="36" hidden="false" customHeight="true" outlineLevel="0" collapsed="false">
      <c r="A59" s="30" t="s">
        <v>185</v>
      </c>
      <c r="B59" s="31" t="s">
        <v>186</v>
      </c>
      <c r="C59" s="15" t="s">
        <v>187</v>
      </c>
      <c r="D59" s="31" t="s">
        <v>188</v>
      </c>
      <c r="E59" s="31" t="s">
        <v>199</v>
      </c>
      <c r="F59" s="6" t="s">
        <v>200</v>
      </c>
      <c r="G59" s="26"/>
      <c r="H59" s="26"/>
      <c r="I59" s="26" t="str">
        <f aca="false">IF(AND(ISNUMBER(G59),ISNUMBER(H59)),H59-G59,"")</f>
        <v/>
      </c>
      <c r="J59" s="27"/>
      <c r="K59" s="26"/>
      <c r="L59" s="26"/>
    </row>
    <row r="60" customFormat="false" ht="36" hidden="false" customHeight="true" outlineLevel="0" collapsed="false">
      <c r="A60" s="30" t="s">
        <v>185</v>
      </c>
      <c r="B60" s="31" t="s">
        <v>186</v>
      </c>
      <c r="C60" s="15" t="s">
        <v>201</v>
      </c>
      <c r="D60" s="31" t="s">
        <v>202</v>
      </c>
      <c r="E60" s="31" t="s">
        <v>203</v>
      </c>
      <c r="F60" s="6" t="s">
        <v>204</v>
      </c>
      <c r="G60" s="26"/>
      <c r="H60" s="26"/>
      <c r="I60" s="26" t="str">
        <f aca="false">IF(AND(ISNUMBER(G60),ISNUMBER(H60)),H60-G60,"")</f>
        <v/>
      </c>
      <c r="J60" s="27"/>
      <c r="K60" s="26"/>
      <c r="L60" s="26"/>
    </row>
    <row r="61" customFormat="false" ht="36" hidden="false" customHeight="true" outlineLevel="0" collapsed="false">
      <c r="A61" s="30" t="s">
        <v>185</v>
      </c>
      <c r="B61" s="31" t="s">
        <v>186</v>
      </c>
      <c r="C61" s="15" t="s">
        <v>201</v>
      </c>
      <c r="D61" s="31" t="s">
        <v>202</v>
      </c>
      <c r="E61" s="31" t="s">
        <v>205</v>
      </c>
      <c r="F61" s="6" t="s">
        <v>206</v>
      </c>
      <c r="G61" s="26"/>
      <c r="H61" s="26"/>
      <c r="I61" s="26" t="str">
        <f aca="false">IF(AND(ISNUMBER(G61),ISNUMBER(H61)),H61-G61,"")</f>
        <v/>
      </c>
      <c r="J61" s="27"/>
      <c r="K61" s="26"/>
      <c r="L61" s="26"/>
    </row>
    <row r="62" customFormat="false" ht="36" hidden="false" customHeight="true" outlineLevel="0" collapsed="false">
      <c r="A62" s="30" t="s">
        <v>185</v>
      </c>
      <c r="B62" s="31" t="s">
        <v>186</v>
      </c>
      <c r="C62" s="15" t="s">
        <v>207</v>
      </c>
      <c r="D62" s="31" t="s">
        <v>208</v>
      </c>
      <c r="E62" s="31" t="s">
        <v>209</v>
      </c>
      <c r="F62" s="6" t="s">
        <v>210</v>
      </c>
      <c r="G62" s="26"/>
      <c r="H62" s="26"/>
      <c r="I62" s="26" t="str">
        <f aca="false">IF(AND(ISNUMBER(G62),ISNUMBER(H62)),H62-G62,"")</f>
        <v/>
      </c>
      <c r="J62" s="27"/>
      <c r="K62" s="26"/>
      <c r="L62" s="26"/>
    </row>
    <row r="63" customFormat="false" ht="36" hidden="false" customHeight="true" outlineLevel="0" collapsed="false">
      <c r="A63" s="30" t="s">
        <v>185</v>
      </c>
      <c r="B63" s="31" t="s">
        <v>186</v>
      </c>
      <c r="C63" s="15" t="s">
        <v>207</v>
      </c>
      <c r="D63" s="31" t="s">
        <v>208</v>
      </c>
      <c r="E63" s="31" t="s">
        <v>211</v>
      </c>
      <c r="F63" s="6" t="s">
        <v>212</v>
      </c>
      <c r="G63" s="26"/>
      <c r="H63" s="26"/>
      <c r="I63" s="26" t="str">
        <f aca="false">IF(AND(ISNUMBER(G63),ISNUMBER(H63)),H63-G63,"")</f>
        <v/>
      </c>
      <c r="J63" s="27"/>
      <c r="K63" s="26"/>
      <c r="L63" s="26"/>
    </row>
    <row r="64" customFormat="false" ht="36" hidden="false" customHeight="true" outlineLevel="0" collapsed="false">
      <c r="A64" s="30" t="s">
        <v>185</v>
      </c>
      <c r="B64" s="31" t="s">
        <v>186</v>
      </c>
      <c r="C64" s="15" t="s">
        <v>207</v>
      </c>
      <c r="D64" s="31" t="s">
        <v>208</v>
      </c>
      <c r="E64" s="31" t="s">
        <v>213</v>
      </c>
      <c r="F64" s="6" t="s">
        <v>214</v>
      </c>
      <c r="G64" s="26"/>
      <c r="H64" s="26"/>
      <c r="I64" s="26" t="str">
        <f aca="false">IF(AND(ISNUMBER(G64),ISNUMBER(H64)),H64-G64,"")</f>
        <v/>
      </c>
      <c r="J64" s="27"/>
      <c r="K64" s="26"/>
      <c r="L64" s="26"/>
    </row>
    <row r="65" customFormat="false" ht="36" hidden="false" customHeight="true" outlineLevel="0" collapsed="false">
      <c r="A65" s="30" t="s">
        <v>185</v>
      </c>
      <c r="B65" s="31" t="s">
        <v>186</v>
      </c>
      <c r="C65" s="15" t="s">
        <v>207</v>
      </c>
      <c r="D65" s="31" t="s">
        <v>208</v>
      </c>
      <c r="E65" s="31" t="s">
        <v>215</v>
      </c>
      <c r="F65" s="6" t="s">
        <v>216</v>
      </c>
      <c r="G65" s="26"/>
      <c r="H65" s="26"/>
      <c r="I65" s="26" t="str">
        <f aca="false">IF(AND(ISNUMBER(G65),ISNUMBER(H65)),H65-G65,"")</f>
        <v/>
      </c>
      <c r="J65" s="27"/>
      <c r="K65" s="26"/>
      <c r="L65" s="26"/>
    </row>
    <row r="66" customFormat="false" ht="36" hidden="false" customHeight="true" outlineLevel="0" collapsed="false">
      <c r="A66" s="30" t="s">
        <v>185</v>
      </c>
      <c r="B66" s="31" t="s">
        <v>186</v>
      </c>
      <c r="C66" s="15" t="s">
        <v>217</v>
      </c>
      <c r="D66" s="31" t="s">
        <v>218</v>
      </c>
      <c r="E66" s="31" t="s">
        <v>219</v>
      </c>
      <c r="F66" s="6" t="s">
        <v>220</v>
      </c>
      <c r="G66" s="26"/>
      <c r="H66" s="26"/>
      <c r="I66" s="26" t="str">
        <f aca="false">IF(AND(ISNUMBER(G66),ISNUMBER(H66)),H66-G66,"")</f>
        <v/>
      </c>
      <c r="J66" s="27"/>
      <c r="K66" s="26"/>
      <c r="L66" s="26"/>
    </row>
    <row r="67" customFormat="false" ht="36" hidden="false" customHeight="true" outlineLevel="0" collapsed="false">
      <c r="A67" s="30" t="s">
        <v>185</v>
      </c>
      <c r="B67" s="31" t="s">
        <v>186</v>
      </c>
      <c r="C67" s="15" t="s">
        <v>217</v>
      </c>
      <c r="D67" s="31" t="s">
        <v>218</v>
      </c>
      <c r="E67" s="31" t="s">
        <v>221</v>
      </c>
      <c r="F67" s="6" t="s">
        <v>222</v>
      </c>
      <c r="G67" s="26"/>
      <c r="H67" s="26"/>
      <c r="I67" s="26" t="str">
        <f aca="false">IF(AND(ISNUMBER(G67),ISNUMBER(H67)),H67-G67,"")</f>
        <v/>
      </c>
      <c r="J67" s="27"/>
      <c r="K67" s="26"/>
      <c r="L67" s="26"/>
    </row>
    <row r="68" customFormat="false" ht="36" hidden="false" customHeight="true" outlineLevel="0" collapsed="false">
      <c r="A68" s="30" t="s">
        <v>185</v>
      </c>
      <c r="B68" s="31" t="s">
        <v>186</v>
      </c>
      <c r="C68" s="15" t="s">
        <v>217</v>
      </c>
      <c r="D68" s="31" t="s">
        <v>218</v>
      </c>
      <c r="E68" s="31" t="s">
        <v>223</v>
      </c>
      <c r="F68" s="6" t="s">
        <v>224</v>
      </c>
      <c r="G68" s="26"/>
      <c r="H68" s="26"/>
      <c r="I68" s="26" t="str">
        <f aca="false">IF(AND(ISNUMBER(G68),ISNUMBER(H68)),H68-G68,"")</f>
        <v/>
      </c>
      <c r="J68" s="27"/>
      <c r="K68" s="26"/>
      <c r="L68" s="26"/>
    </row>
    <row r="69" customFormat="false" ht="36" hidden="false" customHeight="true" outlineLevel="0" collapsed="false">
      <c r="A69" s="30" t="s">
        <v>185</v>
      </c>
      <c r="B69" s="31" t="s">
        <v>186</v>
      </c>
      <c r="C69" s="15" t="s">
        <v>217</v>
      </c>
      <c r="D69" s="31" t="s">
        <v>218</v>
      </c>
      <c r="E69" s="31" t="s">
        <v>225</v>
      </c>
      <c r="F69" s="6" t="s">
        <v>226</v>
      </c>
      <c r="G69" s="26"/>
      <c r="H69" s="26"/>
      <c r="I69" s="26" t="str">
        <f aca="false">IF(AND(ISNUMBER(G69),ISNUMBER(H69)),H69-G69,"")</f>
        <v/>
      </c>
      <c r="J69" s="27"/>
      <c r="K69" s="26"/>
      <c r="L69" s="26"/>
    </row>
    <row r="70" customFormat="false" ht="36" hidden="false" customHeight="true" outlineLevel="0" collapsed="false">
      <c r="A70" s="30" t="s">
        <v>185</v>
      </c>
      <c r="B70" s="31" t="s">
        <v>186</v>
      </c>
      <c r="C70" s="15" t="s">
        <v>217</v>
      </c>
      <c r="D70" s="31" t="s">
        <v>218</v>
      </c>
      <c r="E70" s="31" t="s">
        <v>227</v>
      </c>
      <c r="F70" s="6" t="s">
        <v>228</v>
      </c>
      <c r="G70" s="26"/>
      <c r="H70" s="26"/>
      <c r="I70" s="26" t="str">
        <f aca="false">IF(AND(ISNUMBER(G70),ISNUMBER(H70)),H70-G70,"")</f>
        <v/>
      </c>
      <c r="J70" s="27"/>
      <c r="K70" s="26"/>
      <c r="L70" s="26"/>
    </row>
    <row r="71" customFormat="false" ht="36" hidden="false" customHeight="true" outlineLevel="0" collapsed="false">
      <c r="A71" s="30" t="s">
        <v>185</v>
      </c>
      <c r="B71" s="31" t="s">
        <v>186</v>
      </c>
      <c r="C71" s="15" t="s">
        <v>217</v>
      </c>
      <c r="D71" s="31" t="s">
        <v>218</v>
      </c>
      <c r="E71" s="31" t="s">
        <v>229</v>
      </c>
      <c r="F71" s="6" t="s">
        <v>230</v>
      </c>
      <c r="G71" s="26"/>
      <c r="H71" s="26"/>
      <c r="I71" s="26" t="str">
        <f aca="false">IF(AND(ISNUMBER(G71),ISNUMBER(H71)),H71-G71,"")</f>
        <v/>
      </c>
      <c r="J71" s="27"/>
      <c r="K71" s="26"/>
      <c r="L71" s="26"/>
    </row>
    <row r="72" customFormat="false" ht="36" hidden="false" customHeight="true" outlineLevel="0" collapsed="false">
      <c r="A72" s="30" t="s">
        <v>185</v>
      </c>
      <c r="B72" s="31" t="s">
        <v>186</v>
      </c>
      <c r="C72" s="15" t="s">
        <v>231</v>
      </c>
      <c r="D72" s="31" t="s">
        <v>232</v>
      </c>
      <c r="E72" s="31" t="s">
        <v>233</v>
      </c>
      <c r="F72" s="6" t="s">
        <v>234</v>
      </c>
      <c r="G72" s="26"/>
      <c r="H72" s="26"/>
      <c r="I72" s="26" t="str">
        <f aca="false">IF(AND(ISNUMBER(G72),ISNUMBER(H72)),H72-G72,"")</f>
        <v/>
      </c>
      <c r="J72" s="27"/>
      <c r="K72" s="26"/>
      <c r="L72" s="26"/>
    </row>
    <row r="73" customFormat="false" ht="36" hidden="false" customHeight="true" outlineLevel="0" collapsed="false">
      <c r="A73" s="30" t="s">
        <v>185</v>
      </c>
      <c r="B73" s="31" t="s">
        <v>186</v>
      </c>
      <c r="C73" s="15" t="s">
        <v>231</v>
      </c>
      <c r="D73" s="31" t="s">
        <v>232</v>
      </c>
      <c r="E73" s="31" t="s">
        <v>235</v>
      </c>
      <c r="F73" s="6" t="s">
        <v>236</v>
      </c>
      <c r="G73" s="26"/>
      <c r="H73" s="26"/>
      <c r="I73" s="26" t="str">
        <f aca="false">IF(AND(ISNUMBER(G73),ISNUMBER(H73)),H73-G73,"")</f>
        <v/>
      </c>
      <c r="J73" s="27"/>
      <c r="K73" s="26"/>
      <c r="L73" s="26"/>
    </row>
    <row r="74" customFormat="false" ht="36" hidden="false" customHeight="true" outlineLevel="0" collapsed="false">
      <c r="A74" s="30" t="s">
        <v>185</v>
      </c>
      <c r="B74" s="31" t="s">
        <v>186</v>
      </c>
      <c r="C74" s="15" t="s">
        <v>231</v>
      </c>
      <c r="D74" s="31" t="s">
        <v>232</v>
      </c>
      <c r="E74" s="31" t="s">
        <v>237</v>
      </c>
      <c r="F74" s="6" t="s">
        <v>238</v>
      </c>
      <c r="G74" s="26"/>
      <c r="H74" s="26"/>
      <c r="I74" s="26" t="str">
        <f aca="false">IF(AND(ISNUMBER(G74),ISNUMBER(H74)),H74-G74,"")</f>
        <v/>
      </c>
      <c r="J74" s="27"/>
      <c r="K74" s="26"/>
      <c r="L74" s="26"/>
    </row>
    <row r="75" customFormat="false" ht="36" hidden="false" customHeight="true" outlineLevel="0" collapsed="false">
      <c r="A75" s="30" t="s">
        <v>185</v>
      </c>
      <c r="B75" s="31" t="s">
        <v>186</v>
      </c>
      <c r="C75" s="15" t="s">
        <v>231</v>
      </c>
      <c r="D75" s="31" t="s">
        <v>232</v>
      </c>
      <c r="E75" s="31" t="s">
        <v>239</v>
      </c>
      <c r="F75" s="6" t="s">
        <v>240</v>
      </c>
      <c r="G75" s="26"/>
      <c r="H75" s="26"/>
      <c r="I75" s="26" t="str">
        <f aca="false">IF(AND(ISNUMBER(G75),ISNUMBER(H75)),H75-G75,"")</f>
        <v/>
      </c>
      <c r="J75" s="27"/>
      <c r="K75" s="26"/>
      <c r="L75" s="26"/>
    </row>
    <row r="76" customFormat="false" ht="36" hidden="false" customHeight="true" outlineLevel="0" collapsed="false">
      <c r="A76" s="32" t="s">
        <v>241</v>
      </c>
      <c r="B76" s="33" t="s">
        <v>242</v>
      </c>
      <c r="C76" s="12" t="s">
        <v>243</v>
      </c>
      <c r="D76" s="33" t="s">
        <v>244</v>
      </c>
      <c r="E76" s="33" t="s">
        <v>245</v>
      </c>
      <c r="F76" s="6" t="s">
        <v>246</v>
      </c>
      <c r="G76" s="26"/>
      <c r="H76" s="26"/>
      <c r="I76" s="26" t="str">
        <f aca="false">IF(AND(ISNUMBER(G76),ISNUMBER(H76)),H76-G76,"")</f>
        <v/>
      </c>
      <c r="J76" s="27"/>
      <c r="K76" s="26"/>
      <c r="L76" s="26"/>
    </row>
    <row r="77" customFormat="false" ht="36" hidden="false" customHeight="true" outlineLevel="0" collapsed="false">
      <c r="A77" s="32" t="s">
        <v>241</v>
      </c>
      <c r="B77" s="33" t="s">
        <v>242</v>
      </c>
      <c r="C77" s="12" t="s">
        <v>243</v>
      </c>
      <c r="D77" s="33" t="s">
        <v>244</v>
      </c>
      <c r="E77" s="33" t="s">
        <v>247</v>
      </c>
      <c r="F77" s="6" t="s">
        <v>248</v>
      </c>
      <c r="G77" s="26"/>
      <c r="H77" s="26"/>
      <c r="I77" s="26" t="str">
        <f aca="false">IF(AND(ISNUMBER(G77),ISNUMBER(H77)),H77-G77,"")</f>
        <v/>
      </c>
      <c r="J77" s="27"/>
      <c r="K77" s="26"/>
      <c r="L77" s="26"/>
    </row>
    <row r="78" customFormat="false" ht="36" hidden="false" customHeight="true" outlineLevel="0" collapsed="false">
      <c r="A78" s="32" t="s">
        <v>241</v>
      </c>
      <c r="B78" s="33" t="s">
        <v>242</v>
      </c>
      <c r="C78" s="12" t="s">
        <v>243</v>
      </c>
      <c r="D78" s="33" t="s">
        <v>244</v>
      </c>
      <c r="E78" s="33" t="s">
        <v>249</v>
      </c>
      <c r="F78" s="6" t="s">
        <v>250</v>
      </c>
      <c r="G78" s="26"/>
      <c r="H78" s="26"/>
      <c r="I78" s="26" t="str">
        <f aca="false">IF(AND(ISNUMBER(G78),ISNUMBER(H78)),H78-G78,"")</f>
        <v/>
      </c>
      <c r="J78" s="27"/>
      <c r="K78" s="26"/>
      <c r="L78" s="26"/>
    </row>
    <row r="79" customFormat="false" ht="36" hidden="false" customHeight="true" outlineLevel="0" collapsed="false">
      <c r="A79" s="32" t="s">
        <v>241</v>
      </c>
      <c r="B79" s="33" t="s">
        <v>242</v>
      </c>
      <c r="C79" s="12" t="s">
        <v>243</v>
      </c>
      <c r="D79" s="33" t="s">
        <v>244</v>
      </c>
      <c r="E79" s="33" t="s">
        <v>251</v>
      </c>
      <c r="F79" s="6" t="s">
        <v>252</v>
      </c>
      <c r="G79" s="26"/>
      <c r="H79" s="26"/>
      <c r="I79" s="26" t="str">
        <f aca="false">IF(AND(ISNUMBER(G79),ISNUMBER(H79)),H79-G79,"")</f>
        <v/>
      </c>
      <c r="J79" s="27"/>
      <c r="K79" s="26"/>
      <c r="L79" s="26"/>
    </row>
    <row r="80" customFormat="false" ht="36" hidden="false" customHeight="true" outlineLevel="0" collapsed="false">
      <c r="A80" s="32" t="s">
        <v>241</v>
      </c>
      <c r="B80" s="33" t="s">
        <v>242</v>
      </c>
      <c r="C80" s="12" t="s">
        <v>243</v>
      </c>
      <c r="D80" s="33" t="s">
        <v>244</v>
      </c>
      <c r="E80" s="33" t="s">
        <v>253</v>
      </c>
      <c r="F80" s="6" t="s">
        <v>254</v>
      </c>
      <c r="G80" s="26"/>
      <c r="H80" s="26"/>
      <c r="I80" s="26" t="str">
        <f aca="false">IF(AND(ISNUMBER(G80),ISNUMBER(H80)),H80-G80,"")</f>
        <v/>
      </c>
      <c r="J80" s="27"/>
      <c r="K80" s="26"/>
      <c r="L80" s="26"/>
    </row>
    <row r="81" customFormat="false" ht="36" hidden="false" customHeight="true" outlineLevel="0" collapsed="false">
      <c r="A81" s="32" t="s">
        <v>241</v>
      </c>
      <c r="B81" s="33" t="s">
        <v>242</v>
      </c>
      <c r="C81" s="12" t="s">
        <v>255</v>
      </c>
      <c r="D81" s="33" t="s">
        <v>256</v>
      </c>
      <c r="E81" s="33" t="s">
        <v>257</v>
      </c>
      <c r="F81" s="6" t="s">
        <v>258</v>
      </c>
      <c r="G81" s="26"/>
      <c r="H81" s="26"/>
      <c r="I81" s="26" t="str">
        <f aca="false">IF(AND(ISNUMBER(G81),ISNUMBER(H81)),H81-G81,"")</f>
        <v/>
      </c>
      <c r="J81" s="27"/>
      <c r="K81" s="26"/>
      <c r="L81" s="26"/>
    </row>
    <row r="82" customFormat="false" ht="36" hidden="false" customHeight="true" outlineLevel="0" collapsed="false">
      <c r="A82" s="32" t="s">
        <v>241</v>
      </c>
      <c r="B82" s="33" t="s">
        <v>242</v>
      </c>
      <c r="C82" s="12" t="s">
        <v>255</v>
      </c>
      <c r="D82" s="33" t="s">
        <v>256</v>
      </c>
      <c r="E82" s="33" t="s">
        <v>259</v>
      </c>
      <c r="F82" s="6" t="s">
        <v>260</v>
      </c>
      <c r="G82" s="26"/>
      <c r="H82" s="26"/>
      <c r="I82" s="26" t="str">
        <f aca="false">IF(AND(ISNUMBER(G82),ISNUMBER(H82)),H82-G82,"")</f>
        <v/>
      </c>
      <c r="J82" s="27"/>
      <c r="K82" s="26"/>
      <c r="L82" s="26"/>
    </row>
    <row r="83" customFormat="false" ht="36" hidden="false" customHeight="true" outlineLevel="0" collapsed="false">
      <c r="A83" s="32" t="s">
        <v>241</v>
      </c>
      <c r="B83" s="33" t="s">
        <v>242</v>
      </c>
      <c r="C83" s="12" t="s">
        <v>255</v>
      </c>
      <c r="D83" s="33" t="s">
        <v>256</v>
      </c>
      <c r="E83" s="33" t="s">
        <v>261</v>
      </c>
      <c r="F83" s="6" t="s">
        <v>262</v>
      </c>
      <c r="G83" s="26"/>
      <c r="H83" s="26"/>
      <c r="I83" s="26" t="str">
        <f aca="false">IF(AND(ISNUMBER(G83),ISNUMBER(H83)),H83-G83,"")</f>
        <v/>
      </c>
      <c r="J83" s="27"/>
      <c r="K83" s="26"/>
      <c r="L83" s="26"/>
    </row>
    <row r="84" customFormat="false" ht="36" hidden="false" customHeight="true" outlineLevel="0" collapsed="false">
      <c r="A84" s="32" t="s">
        <v>241</v>
      </c>
      <c r="B84" s="33" t="s">
        <v>242</v>
      </c>
      <c r="C84" s="12" t="s">
        <v>255</v>
      </c>
      <c r="D84" s="33" t="s">
        <v>256</v>
      </c>
      <c r="E84" s="33" t="s">
        <v>263</v>
      </c>
      <c r="F84" s="6" t="s">
        <v>264</v>
      </c>
      <c r="G84" s="26"/>
      <c r="H84" s="26"/>
      <c r="I84" s="26" t="str">
        <f aca="false">IF(AND(ISNUMBER(G84),ISNUMBER(H84)),H84-G84,"")</f>
        <v/>
      </c>
      <c r="J84" s="27"/>
      <c r="K84" s="26"/>
      <c r="L84" s="26"/>
    </row>
    <row r="85" customFormat="false" ht="36" hidden="false" customHeight="true" outlineLevel="0" collapsed="false">
      <c r="A85" s="32" t="s">
        <v>241</v>
      </c>
      <c r="B85" s="33" t="s">
        <v>242</v>
      </c>
      <c r="C85" s="12" t="s">
        <v>255</v>
      </c>
      <c r="D85" s="33" t="s">
        <v>256</v>
      </c>
      <c r="E85" s="33" t="s">
        <v>265</v>
      </c>
      <c r="F85" s="6" t="s">
        <v>266</v>
      </c>
      <c r="G85" s="26"/>
      <c r="H85" s="26"/>
      <c r="I85" s="26" t="str">
        <f aca="false">IF(AND(ISNUMBER(G85),ISNUMBER(H85)),H85-G85,"")</f>
        <v/>
      </c>
      <c r="J85" s="27"/>
      <c r="K85" s="26"/>
      <c r="L85" s="26"/>
    </row>
    <row r="86" customFormat="false" ht="36" hidden="false" customHeight="true" outlineLevel="0" collapsed="false">
      <c r="A86" s="32" t="s">
        <v>241</v>
      </c>
      <c r="B86" s="33" t="s">
        <v>242</v>
      </c>
      <c r="C86" s="12" t="s">
        <v>255</v>
      </c>
      <c r="D86" s="33" t="s">
        <v>256</v>
      </c>
      <c r="E86" s="33" t="s">
        <v>267</v>
      </c>
      <c r="F86" s="6" t="s">
        <v>268</v>
      </c>
      <c r="G86" s="26"/>
      <c r="H86" s="26"/>
      <c r="I86" s="26" t="str">
        <f aca="false">IF(AND(ISNUMBER(G86),ISNUMBER(H86)),H86-G86,"")</f>
        <v/>
      </c>
      <c r="J86" s="27"/>
      <c r="K86" s="26"/>
      <c r="L86" s="26"/>
    </row>
    <row r="87" customFormat="false" ht="36" hidden="false" customHeight="true" outlineLevel="0" collapsed="false">
      <c r="A87" s="34" t="s">
        <v>269</v>
      </c>
      <c r="B87" s="35" t="s">
        <v>270</v>
      </c>
      <c r="C87" s="36" t="s">
        <v>271</v>
      </c>
      <c r="D87" s="35" t="s">
        <v>272</v>
      </c>
      <c r="E87" s="35" t="s">
        <v>273</v>
      </c>
      <c r="F87" s="6" t="s">
        <v>274</v>
      </c>
      <c r="G87" s="26"/>
      <c r="H87" s="26"/>
      <c r="I87" s="26" t="str">
        <f aca="false">IF(AND(ISNUMBER(G87),ISNUMBER(H87)),H87-G87,"")</f>
        <v/>
      </c>
      <c r="J87" s="27"/>
      <c r="K87" s="26"/>
      <c r="L87" s="26"/>
    </row>
    <row r="88" customFormat="false" ht="36" hidden="false" customHeight="true" outlineLevel="0" collapsed="false">
      <c r="A88" s="34" t="s">
        <v>269</v>
      </c>
      <c r="B88" s="35" t="s">
        <v>270</v>
      </c>
      <c r="C88" s="36" t="s">
        <v>271</v>
      </c>
      <c r="D88" s="35" t="s">
        <v>272</v>
      </c>
      <c r="E88" s="35" t="s">
        <v>275</v>
      </c>
      <c r="F88" s="6" t="s">
        <v>276</v>
      </c>
      <c r="G88" s="26"/>
      <c r="H88" s="26"/>
      <c r="I88" s="26" t="str">
        <f aca="false">IF(AND(ISNUMBER(G88),ISNUMBER(H88)),H88-G88,"")</f>
        <v/>
      </c>
      <c r="J88" s="27"/>
      <c r="K88" s="26"/>
      <c r="L88" s="26"/>
    </row>
    <row r="89" customFormat="false" ht="36" hidden="false" customHeight="true" outlineLevel="0" collapsed="false">
      <c r="A89" s="34" t="s">
        <v>269</v>
      </c>
      <c r="B89" s="35" t="s">
        <v>270</v>
      </c>
      <c r="C89" s="36" t="s">
        <v>271</v>
      </c>
      <c r="D89" s="35" t="s">
        <v>272</v>
      </c>
      <c r="E89" s="35" t="s">
        <v>277</v>
      </c>
      <c r="F89" s="6" t="s">
        <v>278</v>
      </c>
      <c r="G89" s="26"/>
      <c r="H89" s="26"/>
      <c r="I89" s="26" t="str">
        <f aca="false">IF(AND(ISNUMBER(G89),ISNUMBER(H89)),H89-G89,"")</f>
        <v/>
      </c>
      <c r="J89" s="27"/>
      <c r="K89" s="26"/>
      <c r="L89" s="26"/>
    </row>
    <row r="90" customFormat="false" ht="36" hidden="false" customHeight="true" outlineLevel="0" collapsed="false">
      <c r="A90" s="34" t="s">
        <v>269</v>
      </c>
      <c r="B90" s="35" t="s">
        <v>270</v>
      </c>
      <c r="C90" s="36" t="s">
        <v>271</v>
      </c>
      <c r="D90" s="35" t="s">
        <v>272</v>
      </c>
      <c r="E90" s="35" t="s">
        <v>279</v>
      </c>
      <c r="F90" s="6" t="s">
        <v>280</v>
      </c>
      <c r="G90" s="26"/>
      <c r="H90" s="26"/>
      <c r="I90" s="26" t="str">
        <f aca="false">IF(AND(ISNUMBER(G90),ISNUMBER(H90)),H90-G90,"")</f>
        <v/>
      </c>
      <c r="J90" s="27"/>
      <c r="K90" s="26"/>
      <c r="L90" s="26"/>
    </row>
    <row r="91" customFormat="false" ht="36" hidden="false" customHeight="true" outlineLevel="0" collapsed="false">
      <c r="A91" s="34" t="s">
        <v>269</v>
      </c>
      <c r="B91" s="35" t="s">
        <v>270</v>
      </c>
      <c r="C91" s="36" t="s">
        <v>271</v>
      </c>
      <c r="D91" s="35" t="s">
        <v>272</v>
      </c>
      <c r="E91" s="35" t="s">
        <v>281</v>
      </c>
      <c r="F91" s="6" t="s">
        <v>282</v>
      </c>
      <c r="G91" s="26"/>
      <c r="H91" s="26"/>
      <c r="I91" s="26" t="str">
        <f aca="false">IF(AND(ISNUMBER(G91),ISNUMBER(H91)),H91-G91,"")</f>
        <v/>
      </c>
      <c r="J91" s="27"/>
      <c r="K91" s="26"/>
      <c r="L91" s="26"/>
    </row>
    <row r="92" customFormat="false" ht="36" hidden="false" customHeight="true" outlineLevel="0" collapsed="false">
      <c r="A92" s="34" t="s">
        <v>269</v>
      </c>
      <c r="B92" s="35" t="s">
        <v>270</v>
      </c>
      <c r="C92" s="36" t="s">
        <v>283</v>
      </c>
      <c r="D92" s="35" t="s">
        <v>284</v>
      </c>
      <c r="E92" s="35" t="s">
        <v>285</v>
      </c>
      <c r="F92" s="6" t="s">
        <v>286</v>
      </c>
      <c r="G92" s="26"/>
      <c r="H92" s="26"/>
      <c r="I92" s="26" t="str">
        <f aca="false">IF(AND(ISNUMBER(G92),ISNUMBER(H92)),H92-G92,"")</f>
        <v/>
      </c>
      <c r="J92" s="27"/>
      <c r="K92" s="26"/>
      <c r="L92" s="26"/>
    </row>
    <row r="93" customFormat="false" ht="36" hidden="false" customHeight="true" outlineLevel="0" collapsed="false">
      <c r="A93" s="34" t="s">
        <v>269</v>
      </c>
      <c r="B93" s="35" t="s">
        <v>270</v>
      </c>
      <c r="C93" s="36" t="s">
        <v>283</v>
      </c>
      <c r="D93" s="35" t="s">
        <v>284</v>
      </c>
      <c r="E93" s="35" t="s">
        <v>287</v>
      </c>
      <c r="F93" s="6" t="s">
        <v>288</v>
      </c>
      <c r="G93" s="26"/>
      <c r="H93" s="26"/>
      <c r="I93" s="26" t="str">
        <f aca="false">IF(AND(ISNUMBER(G93),ISNUMBER(H93)),H93-G93,"")</f>
        <v/>
      </c>
      <c r="J93" s="27"/>
      <c r="K93" s="26"/>
      <c r="L93" s="26"/>
    </row>
    <row r="94" customFormat="false" ht="36" hidden="false" customHeight="true" outlineLevel="0" collapsed="false">
      <c r="A94" s="34" t="s">
        <v>269</v>
      </c>
      <c r="B94" s="35" t="s">
        <v>270</v>
      </c>
      <c r="C94" s="36" t="s">
        <v>283</v>
      </c>
      <c r="D94" s="35" t="s">
        <v>284</v>
      </c>
      <c r="E94" s="35" t="s">
        <v>289</v>
      </c>
      <c r="F94" s="6" t="s">
        <v>290</v>
      </c>
      <c r="G94" s="26"/>
      <c r="H94" s="26"/>
      <c r="I94" s="26" t="str">
        <f aca="false">IF(AND(ISNUMBER(G94),ISNUMBER(H94)),H94-G94,"")</f>
        <v/>
      </c>
      <c r="J94" s="27"/>
      <c r="K94" s="26"/>
      <c r="L94" s="26"/>
    </row>
    <row r="95" customFormat="false" ht="36" hidden="false" customHeight="true" outlineLevel="0" collapsed="false">
      <c r="A95" s="34" t="s">
        <v>269</v>
      </c>
      <c r="B95" s="35" t="s">
        <v>270</v>
      </c>
      <c r="C95" s="36" t="s">
        <v>283</v>
      </c>
      <c r="D95" s="35" t="s">
        <v>284</v>
      </c>
      <c r="E95" s="35" t="s">
        <v>291</v>
      </c>
      <c r="F95" s="6" t="s">
        <v>292</v>
      </c>
      <c r="G95" s="26"/>
      <c r="H95" s="26"/>
      <c r="I95" s="26" t="str">
        <f aca="false">IF(AND(ISNUMBER(G95),ISNUMBER(H95)),H95-G95,"")</f>
        <v/>
      </c>
      <c r="J95" s="27"/>
      <c r="K95" s="26"/>
      <c r="L95" s="26"/>
    </row>
    <row r="96" customFormat="false" ht="36" hidden="false" customHeight="true" outlineLevel="0" collapsed="false">
      <c r="A96" s="34" t="s">
        <v>269</v>
      </c>
      <c r="B96" s="35" t="s">
        <v>270</v>
      </c>
      <c r="C96" s="36" t="s">
        <v>293</v>
      </c>
      <c r="D96" s="35" t="s">
        <v>294</v>
      </c>
      <c r="E96" s="35" t="s">
        <v>295</v>
      </c>
      <c r="F96" s="6" t="s">
        <v>296</v>
      </c>
      <c r="G96" s="26"/>
      <c r="H96" s="26"/>
      <c r="I96" s="26" t="str">
        <f aca="false">IF(AND(ISNUMBER(G96),ISNUMBER(H96)),H96-G96,"")</f>
        <v/>
      </c>
      <c r="J96" s="27"/>
      <c r="K96" s="26"/>
      <c r="L96" s="26"/>
    </row>
    <row r="97" customFormat="false" ht="36" hidden="false" customHeight="true" outlineLevel="0" collapsed="false">
      <c r="A97" s="34" t="s">
        <v>269</v>
      </c>
      <c r="B97" s="35" t="s">
        <v>270</v>
      </c>
      <c r="C97" s="36" t="s">
        <v>293</v>
      </c>
      <c r="D97" s="35" t="s">
        <v>294</v>
      </c>
      <c r="E97" s="35" t="s">
        <v>297</v>
      </c>
      <c r="F97" s="6" t="s">
        <v>298</v>
      </c>
      <c r="G97" s="26"/>
      <c r="H97" s="26"/>
      <c r="I97" s="26" t="str">
        <f aca="false">IF(AND(ISNUMBER(G97),ISNUMBER(H97)),H97-G97,"")</f>
        <v/>
      </c>
      <c r="J97" s="27"/>
      <c r="K97" s="26"/>
      <c r="L97" s="26"/>
    </row>
    <row r="98" customFormat="false" ht="36" hidden="false" customHeight="true" outlineLevel="0" collapsed="false">
      <c r="A98" s="34" t="s">
        <v>269</v>
      </c>
      <c r="B98" s="35" t="s">
        <v>270</v>
      </c>
      <c r="C98" s="36" t="s">
        <v>299</v>
      </c>
      <c r="D98" s="35" t="s">
        <v>300</v>
      </c>
      <c r="E98" s="35" t="s">
        <v>301</v>
      </c>
      <c r="F98" s="6" t="s">
        <v>302</v>
      </c>
      <c r="G98" s="26"/>
      <c r="H98" s="26"/>
      <c r="I98" s="26" t="str">
        <f aca="false">IF(AND(ISNUMBER(G98),ISNUMBER(H98)),H98-G98,"")</f>
        <v/>
      </c>
      <c r="J98" s="27"/>
      <c r="K98" s="26"/>
      <c r="L98" s="26"/>
    </row>
    <row r="99" customFormat="false" ht="36" hidden="false" customHeight="true" outlineLevel="0" collapsed="false">
      <c r="A99" s="34" t="s">
        <v>269</v>
      </c>
      <c r="B99" s="35" t="s">
        <v>270</v>
      </c>
      <c r="C99" s="36" t="s">
        <v>299</v>
      </c>
      <c r="D99" s="35" t="s">
        <v>300</v>
      </c>
      <c r="E99" s="35" t="s">
        <v>303</v>
      </c>
      <c r="F99" s="6" t="s">
        <v>304</v>
      </c>
      <c r="G99" s="26"/>
      <c r="H99" s="26"/>
      <c r="I99" s="26" t="str">
        <f aca="false">IF(AND(ISNUMBER(G99),ISNUMBER(H99)),H99-G99,"")</f>
        <v/>
      </c>
      <c r="J99" s="27"/>
      <c r="K99" s="26"/>
      <c r="L99" s="26"/>
    </row>
    <row r="100" customFormat="false" ht="36" hidden="false" customHeight="true" outlineLevel="0" collapsed="false">
      <c r="A100" s="37" t="s">
        <v>305</v>
      </c>
      <c r="B100" s="38" t="s">
        <v>306</v>
      </c>
      <c r="C100" s="39" t="s">
        <v>307</v>
      </c>
      <c r="D100" s="38" t="s">
        <v>308</v>
      </c>
      <c r="E100" s="38" t="s">
        <v>309</v>
      </c>
      <c r="F100" s="6" t="s">
        <v>310</v>
      </c>
      <c r="G100" s="26"/>
      <c r="H100" s="26"/>
      <c r="I100" s="26" t="str">
        <f aca="false">IF(AND(ISNUMBER(G100),ISNUMBER(H100)),H100-G100,"")</f>
        <v/>
      </c>
      <c r="J100" s="27"/>
      <c r="K100" s="26"/>
      <c r="L100" s="26"/>
    </row>
    <row r="101" customFormat="false" ht="36" hidden="false" customHeight="true" outlineLevel="0" collapsed="false">
      <c r="A101" s="37" t="s">
        <v>305</v>
      </c>
      <c r="B101" s="38" t="s">
        <v>306</v>
      </c>
      <c r="C101" s="39" t="s">
        <v>307</v>
      </c>
      <c r="D101" s="38" t="s">
        <v>308</v>
      </c>
      <c r="E101" s="38" t="s">
        <v>311</v>
      </c>
      <c r="F101" s="6" t="s">
        <v>312</v>
      </c>
      <c r="G101" s="26"/>
      <c r="H101" s="26"/>
      <c r="I101" s="26" t="str">
        <f aca="false">IF(AND(ISNUMBER(G101),ISNUMBER(H101)),H101-G101,"")</f>
        <v/>
      </c>
      <c r="J101" s="27"/>
      <c r="K101" s="26"/>
      <c r="L101" s="26"/>
    </row>
    <row r="102" customFormat="false" ht="36" hidden="false" customHeight="true" outlineLevel="0" collapsed="false">
      <c r="A102" s="37" t="s">
        <v>305</v>
      </c>
      <c r="B102" s="38" t="s">
        <v>306</v>
      </c>
      <c r="C102" s="39" t="s">
        <v>307</v>
      </c>
      <c r="D102" s="38" t="s">
        <v>308</v>
      </c>
      <c r="E102" s="38" t="s">
        <v>313</v>
      </c>
      <c r="F102" s="6" t="s">
        <v>314</v>
      </c>
      <c r="G102" s="26"/>
      <c r="H102" s="26"/>
      <c r="I102" s="26" t="str">
        <f aca="false">IF(AND(ISNUMBER(G102),ISNUMBER(H102)),H102-G102,"")</f>
        <v/>
      </c>
      <c r="J102" s="27"/>
      <c r="K102" s="26"/>
      <c r="L102" s="26"/>
    </row>
    <row r="103" customFormat="false" ht="36" hidden="false" customHeight="true" outlineLevel="0" collapsed="false">
      <c r="A103" s="37" t="s">
        <v>305</v>
      </c>
      <c r="B103" s="38" t="s">
        <v>306</v>
      </c>
      <c r="C103" s="39" t="s">
        <v>307</v>
      </c>
      <c r="D103" s="38" t="s">
        <v>308</v>
      </c>
      <c r="E103" s="38" t="s">
        <v>315</v>
      </c>
      <c r="F103" s="6" t="s">
        <v>316</v>
      </c>
      <c r="G103" s="26"/>
      <c r="H103" s="26"/>
      <c r="I103" s="26" t="str">
        <f aca="false">IF(AND(ISNUMBER(G103),ISNUMBER(H103)),H103-G103,"")</f>
        <v/>
      </c>
      <c r="J103" s="27"/>
      <c r="K103" s="26"/>
      <c r="L103" s="26"/>
    </row>
    <row r="104" customFormat="false" ht="36" hidden="false" customHeight="true" outlineLevel="0" collapsed="false">
      <c r="A104" s="37" t="s">
        <v>305</v>
      </c>
      <c r="B104" s="38" t="s">
        <v>306</v>
      </c>
      <c r="C104" s="39" t="s">
        <v>307</v>
      </c>
      <c r="D104" s="38" t="s">
        <v>308</v>
      </c>
      <c r="E104" s="38" t="s">
        <v>317</v>
      </c>
      <c r="F104" s="6" t="s">
        <v>318</v>
      </c>
      <c r="G104" s="26"/>
      <c r="H104" s="26"/>
      <c r="I104" s="26" t="str">
        <f aca="false">IF(AND(ISNUMBER(G104),ISNUMBER(H104)),H104-G104,"")</f>
        <v/>
      </c>
      <c r="J104" s="27"/>
      <c r="K104" s="26"/>
      <c r="L104" s="26"/>
    </row>
    <row r="105" customFormat="false" ht="36" hidden="false" customHeight="true" outlineLevel="0" collapsed="false">
      <c r="A105" s="37" t="s">
        <v>305</v>
      </c>
      <c r="B105" s="38" t="s">
        <v>306</v>
      </c>
      <c r="C105" s="39" t="s">
        <v>307</v>
      </c>
      <c r="D105" s="38" t="s">
        <v>308</v>
      </c>
      <c r="E105" s="38" t="s">
        <v>319</v>
      </c>
      <c r="F105" s="6" t="s">
        <v>320</v>
      </c>
      <c r="G105" s="26"/>
      <c r="H105" s="26"/>
      <c r="I105" s="26" t="str">
        <f aca="false">IF(AND(ISNUMBER(G105),ISNUMBER(H105)),H105-G105,"")</f>
        <v/>
      </c>
      <c r="J105" s="27"/>
      <c r="K105" s="26"/>
      <c r="L105" s="26"/>
    </row>
    <row r="106" customFormat="false" ht="36" hidden="false" customHeight="true" outlineLevel="0" collapsed="false">
      <c r="A106" s="37" t="s">
        <v>305</v>
      </c>
      <c r="B106" s="38" t="s">
        <v>306</v>
      </c>
      <c r="C106" s="39" t="s">
        <v>321</v>
      </c>
      <c r="D106" s="38" t="s">
        <v>322</v>
      </c>
      <c r="E106" s="38" t="s">
        <v>323</v>
      </c>
      <c r="F106" s="6" t="s">
        <v>324</v>
      </c>
      <c r="G106" s="26"/>
      <c r="H106" s="26"/>
      <c r="I106" s="26" t="str">
        <f aca="false">IF(AND(ISNUMBER(G106),ISNUMBER(H106)),H106-G106,"")</f>
        <v/>
      </c>
      <c r="J106" s="27"/>
      <c r="K106" s="26"/>
      <c r="L106" s="26"/>
    </row>
    <row r="107" customFormat="false" ht="36" hidden="false" customHeight="true" outlineLevel="0" collapsed="false">
      <c r="A107" s="37" t="s">
        <v>305</v>
      </c>
      <c r="B107" s="38" t="s">
        <v>306</v>
      </c>
      <c r="C107" s="39" t="s">
        <v>321</v>
      </c>
      <c r="D107" s="38" t="s">
        <v>322</v>
      </c>
      <c r="E107" s="38" t="s">
        <v>325</v>
      </c>
      <c r="F107" s="6" t="s">
        <v>326</v>
      </c>
      <c r="G107" s="26"/>
      <c r="H107" s="26"/>
      <c r="I107" s="26" t="str">
        <f aca="false">IF(AND(ISNUMBER(G107),ISNUMBER(H107)),H107-G107,"")</f>
        <v/>
      </c>
      <c r="J107" s="27"/>
      <c r="K107" s="26"/>
      <c r="L107" s="26"/>
    </row>
  </sheetData>
  <conditionalFormatting sqref="I2:I107">
    <cfRule type="cellIs" priority="2" operator="greaterThanOrEqual" aboveAverage="0" equalAverage="0" bottom="0" percent="0" rank="0" text="" dxfId="0">
      <formula>3</formula>
    </cfRule>
    <cfRule type="cellIs" priority="3" operator="equal" aboveAverage="0" equalAverage="0" bottom="0" percent="0" rank="0" text="" dxfId="1">
      <formula>2</formula>
    </cfRule>
    <cfRule type="cellIs" priority="4" operator="equal" aboveAverage="0" equalAverage="0" bottom="0" percent="0" rank="0" text="" dxfId="2">
      <formula>1</formula>
    </cfRule>
    <cfRule type="cellIs" priority="5" operator="lessThanOrEqual" aboveAverage="0" equalAverage="0" bottom="0" percent="0" rank="0" text="" dxfId="3">
      <formula>0</formula>
    </cfRule>
  </conditionalFormatting>
  <conditionalFormatting sqref="G2:G107">
    <cfRule type="cellIs" priority="6" operator="equal" aboveAverage="0" equalAverage="0" bottom="0" percent="0" rank="0" text="" dxfId="0">
      <formula>1</formula>
    </cfRule>
    <cfRule type="cellIs" priority="7" operator="equal" aboveAverage="0" equalAverage="0" bottom="0" percent="0" rank="0" text="" dxfId="1">
      <formula>2</formula>
    </cfRule>
    <cfRule type="cellIs" priority="8" operator="equal" aboveAverage="0" equalAverage="0" bottom="0" percent="0" rank="0" text="" dxfId="2">
      <formula>3</formula>
    </cfRule>
    <cfRule type="cellIs" priority="9" operator="equal" aboveAverage="0" equalAverage="0" bottom="0" percent="0" rank="0" text="" dxfId="3">
      <formula>4</formula>
    </cfRule>
  </conditionalFormatting>
  <dataValidations count="2">
    <dataValidation allowBlank="true" error="Tier must be 1, 2, 3, or 4" errorStyle="stop" errorTitle="Invalid tier" operator="between" showDropDown="false" showErrorMessage="false" showInputMessage="false" sqref="G2:H107" type="list">
      <formula1>"1,2,3,4"</formula1>
      <formula2>0</formula2>
    </dataValidation>
    <dataValidation allowBlank="true" errorStyle="stop" operator="between" showDropDown="false" showErrorMessage="false" showInputMessage="false" sqref="L2:L107" type="list">
      <formula1>"Not Started,In Progress,Scored,Validated"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5"/>
    <col collapsed="false" customWidth="true" hidden="false" outlineLevel="0" max="3" min="3" style="0" width="11"/>
    <col collapsed="false" customWidth="true" hidden="false" outlineLevel="0" max="4" min="4" style="0" width="18"/>
    <col collapsed="false" customWidth="true" hidden="false" outlineLevel="0" max="7" min="5" style="0" width="35"/>
    <col collapsed="false" customWidth="true" hidden="false" outlineLevel="0" max="8" min="8" style="0" width="10"/>
    <col collapsed="false" customWidth="true" hidden="false" outlineLevel="0" max="9" min="9" style="0" width="11"/>
    <col collapsed="false" customWidth="true" hidden="false" outlineLevel="0" max="11" min="10" style="0" width="10"/>
    <col collapsed="false" customWidth="true" hidden="false" outlineLevel="0" max="12" min="12" style="0" width="18"/>
    <col collapsed="false" customWidth="true" hidden="false" outlineLevel="0" max="13" min="13" style="0" width="12"/>
  </cols>
  <sheetData>
    <row r="1" customFormat="false" ht="30" hidden="false" customHeight="true" outlineLevel="0" collapsed="false">
      <c r="A1" s="23" t="s">
        <v>57</v>
      </c>
      <c r="B1" s="23" t="s">
        <v>327</v>
      </c>
      <c r="C1" s="23" t="s">
        <v>47</v>
      </c>
      <c r="D1" s="23" t="s">
        <v>328</v>
      </c>
      <c r="E1" s="23" t="s">
        <v>329</v>
      </c>
      <c r="F1" s="23" t="s">
        <v>330</v>
      </c>
      <c r="G1" s="23" t="s">
        <v>331</v>
      </c>
      <c r="H1" s="23" t="s">
        <v>332</v>
      </c>
      <c r="I1" s="23" t="s">
        <v>333</v>
      </c>
      <c r="J1" s="23" t="s">
        <v>334</v>
      </c>
      <c r="K1" s="23" t="s">
        <v>335</v>
      </c>
      <c r="L1" s="23" t="s">
        <v>336</v>
      </c>
      <c r="M1" s="23" t="s">
        <v>58</v>
      </c>
    </row>
    <row r="2" customFormat="false" ht="90" hidden="false" customHeight="true" outlineLevel="0" collapsed="false">
      <c r="A2" s="24" t="s">
        <v>337</v>
      </c>
      <c r="B2" s="17" t="s">
        <v>338</v>
      </c>
      <c r="C2" s="24" t="s">
        <v>59</v>
      </c>
      <c r="D2" s="24" t="s">
        <v>339</v>
      </c>
      <c r="E2" s="17" t="s">
        <v>340</v>
      </c>
      <c r="F2" s="17" t="s">
        <v>341</v>
      </c>
      <c r="G2" s="17" t="s">
        <v>342</v>
      </c>
      <c r="H2" s="24" t="n">
        <v>5</v>
      </c>
      <c r="I2" s="24" t="s">
        <v>343</v>
      </c>
      <c r="J2" s="24" t="s">
        <v>344</v>
      </c>
      <c r="K2" s="24" t="s">
        <v>345</v>
      </c>
      <c r="L2" s="24" t="s">
        <v>346</v>
      </c>
      <c r="M2" s="24" t="s">
        <v>347</v>
      </c>
    </row>
    <row r="3" customFormat="false" ht="90" hidden="false" customHeight="true" outlineLevel="0" collapsed="false">
      <c r="A3" s="24" t="s">
        <v>348</v>
      </c>
      <c r="B3" s="17" t="s">
        <v>349</v>
      </c>
      <c r="C3" s="24" t="s">
        <v>185</v>
      </c>
      <c r="D3" s="24" t="s">
        <v>197</v>
      </c>
      <c r="E3" s="17" t="s">
        <v>350</v>
      </c>
      <c r="F3" s="17" t="s">
        <v>351</v>
      </c>
      <c r="G3" s="17" t="s">
        <v>352</v>
      </c>
      <c r="H3" s="24" t="n">
        <v>4</v>
      </c>
      <c r="I3" s="24" t="s">
        <v>353</v>
      </c>
      <c r="J3" s="24" t="s">
        <v>344</v>
      </c>
      <c r="K3" s="24" t="s">
        <v>345</v>
      </c>
      <c r="L3" s="24" t="s">
        <v>354</v>
      </c>
      <c r="M3" s="24" t="s">
        <v>347</v>
      </c>
    </row>
    <row r="4" customFormat="false" ht="15" hidden="false" customHeight="false" outlineLevel="0" collapsed="false">
      <c r="A4" s="40" t="s">
        <v>355</v>
      </c>
      <c r="B4" s="40"/>
      <c r="C4" s="40"/>
      <c r="D4" s="40"/>
      <c r="E4" s="40"/>
      <c r="F4" s="40"/>
      <c r="G4" s="40"/>
      <c r="H4" s="40"/>
      <c r="I4" s="40"/>
      <c r="J4" s="40"/>
      <c r="K4" s="40"/>
      <c r="L4" s="40"/>
      <c r="M4" s="40"/>
    </row>
  </sheetData>
  <mergeCells count="1">
    <mergeCell ref="A4:M4"/>
  </mergeCells>
  <dataValidations count="5">
    <dataValidation allowBlank="true" errorStyle="stop" operator="between" showDropDown="false" showErrorMessage="false" showInputMessage="false" sqref="H2:H200" type="list">
      <formula1>"1,2,3,4,5"</formula1>
      <formula2>0</formula2>
    </dataValidation>
    <dataValidation allowBlank="true" errorStyle="stop" operator="between" showDropDown="false" showErrorMessage="false" showInputMessage="false" sqref="I2:I200" type="list">
      <formula1>"S,M,L,XL"</formula1>
      <formula2>0</formula2>
    </dataValidation>
    <dataValidation allowBlank="true" errorStyle="stop" operator="between" showDropDown="false" showErrorMessage="false" showInputMessage="false" sqref="J2:J200" type="list">
      <formula1>"High,Medium,Low"</formula1>
      <formula2>0</formula2>
    </dataValidation>
    <dataValidation allowBlank="true" errorStyle="stop" operator="between" showDropDown="false" showErrorMessage="false" showInputMessage="false" sqref="K2:K200" type="list">
      <formula1>"Phase 1,Phase 2,Phase 3"</formula1>
      <formula2>0</formula2>
    </dataValidation>
    <dataValidation allowBlank="true" errorStyle="stop" operator="between" showDropDown="false" showErrorMessage="false" showInputMessage="false" sqref="M2:M200" type="list">
      <formula1>"Open,In Progress,Mitigated,Closed,Accepted"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8"/>
    <col collapsed="false" customWidth="true" hidden="false" outlineLevel="0" max="6" min="4" style="0" width="12"/>
    <col collapsed="false" customWidth="true" hidden="false" outlineLevel="0" max="7" min="7" style="0" width="13"/>
    <col collapsed="false" customWidth="true" hidden="false" outlineLevel="0" max="8" min="8" style="0" width="50"/>
  </cols>
  <sheetData>
    <row r="2" customFormat="false" ht="27.75" hidden="false" customHeight="true" outlineLevel="0" collapsed="false">
      <c r="B2" s="8" t="s">
        <v>356</v>
      </c>
      <c r="C2" s="8"/>
      <c r="D2" s="8"/>
      <c r="E2" s="8"/>
      <c r="F2" s="8"/>
      <c r="G2" s="8"/>
      <c r="H2" s="8"/>
    </row>
    <row r="3" customFormat="false" ht="15" hidden="false" customHeight="false" outlineLevel="0" collapsed="false">
      <c r="B3" s="41" t="s">
        <v>357</v>
      </c>
      <c r="C3" s="41"/>
      <c r="D3" s="41"/>
      <c r="E3" s="41"/>
      <c r="F3" s="41"/>
      <c r="G3" s="41"/>
      <c r="H3" s="41"/>
    </row>
    <row r="5" customFormat="false" ht="16.15" hidden="false" customHeight="false" outlineLevel="0" collapsed="false">
      <c r="B5" s="21" t="s">
        <v>358</v>
      </c>
      <c r="C5" s="21"/>
      <c r="D5" s="21"/>
      <c r="E5" s="21"/>
      <c r="F5" s="21"/>
      <c r="G5" s="21"/>
      <c r="H5" s="21"/>
    </row>
    <row r="6" customFormat="false" ht="24" hidden="false" customHeight="true" outlineLevel="0" collapsed="false">
      <c r="B6" s="23" t="s">
        <v>48</v>
      </c>
      <c r="C6" s="23" t="s">
        <v>47</v>
      </c>
      <c r="D6" s="23" t="s">
        <v>359</v>
      </c>
      <c r="E6" s="23" t="s">
        <v>360</v>
      </c>
      <c r="F6" s="23" t="s">
        <v>361</v>
      </c>
      <c r="G6" s="23" t="s">
        <v>362</v>
      </c>
      <c r="H6" s="23" t="s">
        <v>363</v>
      </c>
    </row>
    <row r="7" customFormat="false" ht="25.5" hidden="false" customHeight="true" outlineLevel="0" collapsed="false">
      <c r="B7" s="42" t="s">
        <v>60</v>
      </c>
      <c r="C7" s="6" t="s">
        <v>59</v>
      </c>
      <c r="D7" s="43" t="str">
        <f aca="false">IFERROR(AVERAGEIF('CSF Scoring'!B:B,"GV",'CSF Scoring'!G:G),"")</f>
        <v/>
      </c>
      <c r="E7" s="43" t="str">
        <f aca="false">IFERROR(AVERAGEIF('CSF Scoring'!B:B,"GV",'CSF Scoring'!H:H),"")</f>
        <v/>
      </c>
      <c r="F7" s="43" t="str">
        <f aca="false">IFERROR(AVERAGEIF('CSF Scoring'!B:B,"GV",'CSF Scoring'!I:I),"")</f>
        <v/>
      </c>
      <c r="G7" s="44" t="n">
        <f aca="false">COUNTIFS('CSF Scoring'!B:B,"GV",'CSF Scoring'!G:G,"&gt;0")/COUNTIF('CSF Scoring'!B:B,"GV")</f>
        <v>0</v>
      </c>
      <c r="H7" s="45" t="s">
        <v>364</v>
      </c>
    </row>
    <row r="8" customFormat="false" ht="25.5" hidden="false" customHeight="true" outlineLevel="0" collapsed="false">
      <c r="B8" s="46" t="s">
        <v>136</v>
      </c>
      <c r="C8" s="6" t="s">
        <v>135</v>
      </c>
      <c r="D8" s="43" t="str">
        <f aca="false">IFERROR(AVERAGEIF('CSF Scoring'!B:B,"ID",'CSF Scoring'!G:G),"")</f>
        <v/>
      </c>
      <c r="E8" s="43" t="str">
        <f aca="false">IFERROR(AVERAGEIF('CSF Scoring'!B:B,"ID",'CSF Scoring'!H:H),"")</f>
        <v/>
      </c>
      <c r="F8" s="43" t="str">
        <f aca="false">IFERROR(AVERAGEIF('CSF Scoring'!B:B,"ID",'CSF Scoring'!I:I),"")</f>
        <v/>
      </c>
      <c r="G8" s="44" t="n">
        <f aca="false">COUNTIFS('CSF Scoring'!B:B,"ID",'CSF Scoring'!G:G,"&gt;0")/COUNTIF('CSF Scoring'!B:B,"ID")</f>
        <v>0</v>
      </c>
      <c r="H8" s="45" t="s">
        <v>365</v>
      </c>
    </row>
    <row r="9" customFormat="false" ht="25.5" hidden="false" customHeight="true" outlineLevel="0" collapsed="false">
      <c r="B9" s="47" t="s">
        <v>186</v>
      </c>
      <c r="C9" s="6" t="s">
        <v>185</v>
      </c>
      <c r="D9" s="43" t="str">
        <f aca="false">IFERROR(AVERAGEIF('CSF Scoring'!B:B,"PR",'CSF Scoring'!G:G),"")</f>
        <v/>
      </c>
      <c r="E9" s="43" t="str">
        <f aca="false">IFERROR(AVERAGEIF('CSF Scoring'!B:B,"PR",'CSF Scoring'!H:H),"")</f>
        <v/>
      </c>
      <c r="F9" s="43" t="str">
        <f aca="false">IFERROR(AVERAGEIF('CSF Scoring'!B:B,"PR",'CSF Scoring'!I:I),"")</f>
        <v/>
      </c>
      <c r="G9" s="44" t="n">
        <f aca="false">COUNTIFS('CSF Scoring'!B:B,"PR",'CSF Scoring'!G:G,"&gt;0")/COUNTIF('CSF Scoring'!B:B,"PR")</f>
        <v>0</v>
      </c>
      <c r="H9" s="45" t="s">
        <v>366</v>
      </c>
    </row>
    <row r="10" customFormat="false" ht="25.5" hidden="false" customHeight="true" outlineLevel="0" collapsed="false">
      <c r="B10" s="48" t="s">
        <v>242</v>
      </c>
      <c r="C10" s="6" t="s">
        <v>241</v>
      </c>
      <c r="D10" s="43" t="str">
        <f aca="false">IFERROR(AVERAGEIF('CSF Scoring'!B:B,"DE",'CSF Scoring'!G:G),"")</f>
        <v/>
      </c>
      <c r="E10" s="43" t="str">
        <f aca="false">IFERROR(AVERAGEIF('CSF Scoring'!B:B,"DE",'CSF Scoring'!H:H),"")</f>
        <v/>
      </c>
      <c r="F10" s="43" t="str">
        <f aca="false">IFERROR(AVERAGEIF('CSF Scoring'!B:B,"DE",'CSF Scoring'!I:I),"")</f>
        <v/>
      </c>
      <c r="G10" s="44" t="n">
        <f aca="false">COUNTIFS('CSF Scoring'!B:B,"DE",'CSF Scoring'!G:G,"&gt;0")/COUNTIF('CSF Scoring'!B:B,"DE")</f>
        <v>0</v>
      </c>
      <c r="H10" s="45" t="s">
        <v>367</v>
      </c>
    </row>
    <row r="11" customFormat="false" ht="25.5" hidden="false" customHeight="true" outlineLevel="0" collapsed="false">
      <c r="B11" s="49" t="s">
        <v>270</v>
      </c>
      <c r="C11" s="6" t="s">
        <v>269</v>
      </c>
      <c r="D11" s="43" t="str">
        <f aca="false">IFERROR(AVERAGEIF('CSF Scoring'!B:B,"RS",'CSF Scoring'!G:G),"")</f>
        <v/>
      </c>
      <c r="E11" s="43" t="str">
        <f aca="false">IFERROR(AVERAGEIF('CSF Scoring'!B:B,"RS",'CSF Scoring'!H:H),"")</f>
        <v/>
      </c>
      <c r="F11" s="43" t="str">
        <f aca="false">IFERROR(AVERAGEIF('CSF Scoring'!B:B,"RS",'CSF Scoring'!I:I),"")</f>
        <v/>
      </c>
      <c r="G11" s="44" t="n">
        <f aca="false">COUNTIFS('CSF Scoring'!B:B,"RS",'CSF Scoring'!G:G,"&gt;0")/COUNTIF('CSF Scoring'!B:B,"RS")</f>
        <v>0</v>
      </c>
      <c r="H11" s="45" t="s">
        <v>368</v>
      </c>
    </row>
    <row r="12" customFormat="false" ht="25.5" hidden="false" customHeight="true" outlineLevel="0" collapsed="false">
      <c r="B12" s="50" t="s">
        <v>306</v>
      </c>
      <c r="C12" s="6" t="s">
        <v>305</v>
      </c>
      <c r="D12" s="43" t="str">
        <f aca="false">IFERROR(AVERAGEIF('CSF Scoring'!B:B,"RC",'CSF Scoring'!G:G),"")</f>
        <v/>
      </c>
      <c r="E12" s="43" t="str">
        <f aca="false">IFERROR(AVERAGEIF('CSF Scoring'!B:B,"RC",'CSF Scoring'!H:H),"")</f>
        <v/>
      </c>
      <c r="F12" s="43" t="str">
        <f aca="false">IFERROR(AVERAGEIF('CSF Scoring'!B:B,"RC",'CSF Scoring'!I:I),"")</f>
        <v/>
      </c>
      <c r="G12" s="44" t="n">
        <f aca="false">COUNTIFS('CSF Scoring'!B:B,"RC",'CSF Scoring'!G:G,"&gt;0")/COUNTIF('CSF Scoring'!B:B,"RC")</f>
        <v>0</v>
      </c>
      <c r="H12" s="45" t="s">
        <v>369</v>
      </c>
    </row>
    <row r="13" customFormat="false" ht="25.5" hidden="false" customHeight="true" outlineLevel="0" collapsed="false">
      <c r="B13" s="23" t="s">
        <v>370</v>
      </c>
      <c r="C13" s="51" t="s">
        <v>371</v>
      </c>
      <c r="D13" s="52" t="str">
        <f aca="false">IFERROR(AVERAGE('CSF Scoring'!G2:G107),"")</f>
        <v/>
      </c>
      <c r="E13" s="52" t="str">
        <f aca="false">IFERROR(AVERAGE('CSF Scoring'!H2:H107),"")</f>
        <v/>
      </c>
      <c r="F13" s="52" t="str">
        <f aca="false">IFERROR(AVERAGE('CSF Scoring'!I2:I107),"")</f>
        <v/>
      </c>
      <c r="G13" s="53" t="n">
        <f aca="false">COUNTIF('CSF Scoring'!G2:G107,"&gt;0")/106</f>
        <v>0</v>
      </c>
      <c r="H13" s="51" t="s">
        <v>372</v>
      </c>
    </row>
    <row r="15" customFormat="false" ht="16.15" hidden="false" customHeight="false" outlineLevel="0" collapsed="false">
      <c r="B15" s="21" t="s">
        <v>373</v>
      </c>
      <c r="C15" s="21"/>
      <c r="D15" s="21"/>
      <c r="E15" s="21"/>
      <c r="F15" s="21"/>
      <c r="G15" s="21"/>
      <c r="H15" s="21"/>
    </row>
    <row r="16" customFormat="false" ht="21.75" hidden="false" customHeight="true" outlineLevel="0" collapsed="false">
      <c r="B16" s="23" t="s">
        <v>374</v>
      </c>
      <c r="C16" s="23" t="s">
        <v>375</v>
      </c>
      <c r="D16" s="23" t="s">
        <v>376</v>
      </c>
      <c r="E16" s="23" t="s">
        <v>377</v>
      </c>
    </row>
    <row r="17" customFormat="false" ht="24" hidden="false" customHeight="true" outlineLevel="0" collapsed="false">
      <c r="B17" s="46" t="n">
        <v>0</v>
      </c>
      <c r="C17" s="54" t="s">
        <v>378</v>
      </c>
      <c r="D17" s="28" t="n">
        <f aca="false">COUNTIF('CSF Scoring'!I2:I107,0)</f>
        <v>0</v>
      </c>
      <c r="E17" s="55" t="str">
        <f aca="false">IFERROR(D17/COUNT('CSF Scoring'!I2:I107),"")</f>
        <v/>
      </c>
    </row>
    <row r="18" customFormat="false" ht="24" hidden="false" customHeight="true" outlineLevel="0" collapsed="false">
      <c r="B18" s="42" t="n">
        <v>1</v>
      </c>
      <c r="C18" s="56" t="s">
        <v>379</v>
      </c>
      <c r="D18" s="24" t="n">
        <f aca="false">COUNTIF('CSF Scoring'!I2:I107,1)</f>
        <v>0</v>
      </c>
      <c r="E18" s="57" t="str">
        <f aca="false">IFERROR(D18/COUNT('CSF Scoring'!I2:I107),"")</f>
        <v/>
      </c>
    </row>
    <row r="19" customFormat="false" ht="24" hidden="false" customHeight="true" outlineLevel="0" collapsed="false">
      <c r="B19" s="47" t="n">
        <v>2</v>
      </c>
      <c r="C19" s="58" t="s">
        <v>380</v>
      </c>
      <c r="D19" s="30" t="n">
        <f aca="false">COUNTIF('CSF Scoring'!I2:I107,2)</f>
        <v>0</v>
      </c>
      <c r="E19" s="59" t="str">
        <f aca="false">IFERROR(D19/COUNT('CSF Scoring'!I2:I107),"")</f>
        <v/>
      </c>
    </row>
    <row r="20" customFormat="false" ht="24" hidden="false" customHeight="true" outlineLevel="0" collapsed="false">
      <c r="B20" s="48" t="n">
        <v>3</v>
      </c>
      <c r="C20" s="60" t="s">
        <v>381</v>
      </c>
      <c r="D20" s="32" t="n">
        <f aca="false">COUNTIF('CSF Scoring'!I2:I107,3)</f>
        <v>0</v>
      </c>
      <c r="E20" s="61" t="str">
        <f aca="false">IFERROR(D20/COUNT('CSF Scoring'!I2:I107),"")</f>
        <v/>
      </c>
    </row>
    <row r="22" customFormat="false" ht="16.15" hidden="false" customHeight="false" outlineLevel="0" collapsed="false">
      <c r="B22" s="21" t="s">
        <v>382</v>
      </c>
      <c r="C22" s="21"/>
      <c r="D22" s="21"/>
      <c r="E22" s="21"/>
      <c r="F22" s="21"/>
      <c r="G22" s="21"/>
      <c r="H22" s="21"/>
    </row>
    <row r="23" customFormat="false" ht="21.75" hidden="false" customHeight="true" outlineLevel="0" collapsed="false">
      <c r="B23" s="23" t="s">
        <v>24</v>
      </c>
      <c r="C23" s="23" t="s">
        <v>25</v>
      </c>
      <c r="D23" s="23" t="s">
        <v>376</v>
      </c>
      <c r="E23" s="23" t="s">
        <v>383</v>
      </c>
    </row>
    <row r="24" customFormat="false" ht="24" hidden="false" customHeight="true" outlineLevel="0" collapsed="false">
      <c r="B24" s="48" t="n">
        <v>1</v>
      </c>
      <c r="C24" s="60" t="s">
        <v>28</v>
      </c>
      <c r="D24" s="32" t="n">
        <f aca="false">COUNTIF('CSF Scoring'!G2:G107,1)</f>
        <v>0</v>
      </c>
      <c r="E24" s="61" t="str">
        <f aca="false">IFERROR(D24/COUNT('CSF Scoring'!G2:G107),"")</f>
        <v/>
      </c>
    </row>
    <row r="25" customFormat="false" ht="24" hidden="false" customHeight="true" outlineLevel="0" collapsed="false">
      <c r="B25" s="47" t="n">
        <v>2</v>
      </c>
      <c r="C25" s="58" t="s">
        <v>31</v>
      </c>
      <c r="D25" s="30" t="n">
        <f aca="false">COUNTIF('CSF Scoring'!G2:G107,2)</f>
        <v>0</v>
      </c>
      <c r="E25" s="59" t="str">
        <f aca="false">IFERROR(D25/COUNT('CSF Scoring'!G2:G107),"")</f>
        <v/>
      </c>
    </row>
    <row r="26" customFormat="false" ht="24" hidden="false" customHeight="true" outlineLevel="0" collapsed="false">
      <c r="B26" s="42" t="n">
        <v>3</v>
      </c>
      <c r="C26" s="56" t="s">
        <v>34</v>
      </c>
      <c r="D26" s="24" t="n">
        <f aca="false">COUNTIF('CSF Scoring'!G2:G107,3)</f>
        <v>0</v>
      </c>
      <c r="E26" s="57" t="str">
        <f aca="false">IFERROR(D26/COUNT('CSF Scoring'!G2:G107),"")</f>
        <v/>
      </c>
    </row>
    <row r="27" customFormat="false" ht="24" hidden="false" customHeight="true" outlineLevel="0" collapsed="false">
      <c r="B27" s="46" t="n">
        <v>4</v>
      </c>
      <c r="C27" s="54" t="s">
        <v>37</v>
      </c>
      <c r="D27" s="28" t="n">
        <f aca="false">COUNTIF('CSF Scoring'!G2:G107,4)</f>
        <v>0</v>
      </c>
      <c r="E27" s="55" t="str">
        <f aca="false">IFERROR(D27/COUNT('CSF Scoring'!G2:G107),"")</f>
        <v/>
      </c>
    </row>
  </sheetData>
  <mergeCells count="5">
    <mergeCell ref="B2:H2"/>
    <mergeCell ref="B3:H3"/>
    <mergeCell ref="B5:H5"/>
    <mergeCell ref="B15:H15"/>
    <mergeCell ref="B22:H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2026-05-19T01:59:22Z</dcterms:created>
  <dc:creator>openpyxl</dc:creator>
  <dc:description/>
  <dc:language>en-US</dc:language>
  <cp:lastModifiedBy/>
  <dcterms:modified xsi:type="dcterms:W3CDTF">2026-05-19T01:59:22Z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