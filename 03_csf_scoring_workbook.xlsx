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ADME" sheetId="2" r:id="rId6"/>
    <sheet name="Rubric" sheetId="3" r:id="rId7"/>
    <sheet name="CSF Scoring" sheetId="4" r:id="rId8"/>
    <sheet name="Findings" sheetId="5" r:id="rId9"/>
    <sheet name="Dashboard"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<sst xmlns="http://schemas.openxmlformats.org/spreadsheetml/2006/main" uniqueCount="413">
  <si>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</si>
  <si>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</si>
  <si>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</si>
  <si>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</si>
  <si>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</si>
  <si>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</si>
  <si>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NIST CSF 2.0 Maturity Assessment — Scoring Workbook</t>
  </si>
  <si>
    <t>Subject organization: Meridian Bridge Capital (MBC) — fictional fintech lender</t>
  </si>
  <si>
    <t>Purpose</t>
  </si>
  <si>
    <t>This workbook is the scoring engine for a self-assessment against NIST CSF 2.0. It contains all 106 subcategories across the six functions (Govern, Identify, Protect, Detect, Respond, Recover), with structured columns for current tier, target tier, gap, and evidence. The Dashboard tab summarizes maturity at the function level using formulas — no manual rollup needed.</t>
  </si>
  <si>
    <t>How to use this workbook</t>
  </si>
  <si>
    <t>1. Read the Rubric tab</t>
  </si>
  <si>
    <t>Understand the 1-4 tier scale before scoring.</t>
  </si>
  <si>
    <t>2. Go to the CSF Scoring tab</t>
  </si>
  <si>
    <t>All 106 subcategories are listed, grouped by function.</t>
  </si>
  <si>
    <t>3. For each subcategory</t>
  </si>
  <si>
    <t>Read the description, identify evidence at MBC, score Current Tier (1-4).</t>
  </si>
  <si>
    <t>4. Set Target Tier</t>
  </si>
  <si>
    <t>Based on regulatory needs, risk appetite, and business context.</t>
  </si>
  <si>
    <t>5. Gap is auto-calculated</t>
  </si>
  <si>
    <t>Target minus Current. Subcategories with Gap &gt; 0 are candidate findings.</t>
  </si>
  <si>
    <t>6. Document evidence</t>
  </si>
  <si>
    <t>What at MBC supports your score? Be specific.</t>
  </si>
  <si>
    <t>7. Open the Findings tab</t>
  </si>
  <si>
    <t>Capture each gap as a finding with severity, effort, and recommendation.</t>
  </si>
  <si>
    <t>8. Watch the Dashboard tab</t>
  </si>
  <si>
    <t>Function-level maturity summaries update automatically.</t>
  </si>
  <si>
    <t>Source verification</t>
  </si>
  <si>
    <t>Subcategory IDs and descriptions in this workbook are paraphrased from the NIST CSF 2.0 Core (published Feb 26, 2024). Before producing final deliverables, validate all subcategory text against the official NIST CSF 2.0 Core spreadsheet, available free at https://www.nist.gov/cyberframework/framework</t>
  </si>
  <si>
    <t>Rubric</t>
  </si>
  <si>
    <t>Scoring Rubric — NIST CSF 2.0 Implementation Tiers</t>
  </si>
  <si>
    <t>Tier</t>
  </si>
  <si>
    <t>Name</t>
  </si>
  <si>
    <t>Definition</t>
  </si>
  <si>
    <t>Typical evidence</t>
  </si>
  <si>
    <t>Partial</t>
  </si>
  <si>
    <t>Practices are ad hoc and reactive. No documented procedures. Risk awareness exists informally if at all.</t>
  </si>
  <si>
    <t>Verbal confirmation only; no artifacts</t>
  </si>
  <si>
    <t>Risk Informed</t>
  </si>
  <si>
    <t>Awareness exists. Practices are performed but inconsistently or without formal documentation. May be in transition.</t>
  </si>
  <si>
    <t>Drafts, informal runbooks, partial coverage</t>
  </si>
  <si>
    <t>Repeatable</t>
  </si>
  <si>
    <t>Documented practices applied consistently. Owners are named. Reviewed periodically.</t>
  </si>
  <si>
    <t>Approved policies, defined procedures, evidence of execution</t>
  </si>
  <si>
    <t>Adaptive</t>
  </si>
  <si>
    <t>Practices continuously improved based on threat intelligence, metrics, and lessons learned. Integrated across enterprise risk.</t>
  </si>
  <si>
    <t>Metrics tracked, improvement cycles documented, threat-informed adjustments</t>
  </si>
  <si>
    <t>Scoring guidance</t>
  </si>
  <si>
    <t>• Score current tier based on observed evidence at MBC today, not what's planned.</t>
  </si>
  <si>
    <t>• When evidence is mixed across tiers, pick the lowest tier that fully fits.</t>
  </si>
  <si>
    <t>• Target tier should reflect risk appetite, regulatory drivers, and business context — not aspiration.</t>
  </si>
  <si>
    <t>• Target tier need not be 4 for every subcategory. Tier 3 (Repeatable) is appropriate for many areas.</t>
  </si>
  <si>
    <t>• Gap = Target − Current. Any positive gap is a candidate finding.</t>
  </si>
  <si>
    <t>• Document evidence specifically: 'Policy XYZ approved in Q1 2025, last reviewed March 2026' beats 'Policy exists.'</t>
  </si>
  <si>
    <t>CSF Scoring</t>
  </si>
  <si>
    <t>Function</t>
  </si>
  <si>
    <t>Code</t>
  </si>
  <si>
    <t>Category</t>
  </si>
  <si>
    <t>Cat Code</t>
  </si>
  <si>
    <t>Subcategory ID</t>
  </si>
  <si>
    <t>Subcategory Description</t>
  </si>
  <si>
    <t>Current Tier</t>
  </si>
  <si>
    <t>Target Tier</t>
  </si>
  <si>
    <t>Gap</t>
  </si>
  <si>
    <t>Evidence / Observations</t>
  </si>
  <si>
    <t>Finding ID</t>
  </si>
  <si>
    <t>Status</t>
  </si>
  <si>
    <t>Govern</t>
  </si>
  <si>
    <t>GV</t>
  </si>
  <si>
    <t>Organizational Context</t>
  </si>
  <si>
    <t>GV.OC</t>
  </si>
  <si>
    <t>GV.OC-01</t>
  </si>
  <si>
    <t>The organizational mission is understood and informs cybersecurity risk management</t>
  </si>
  <si>
    <t>Leadership demonstrates awareness of MBC's lending mission and funds compliance initiatives (SOC 2 Type I done, Type II in progress; FTC Safeguards work underway; GLBA advisory completed). However, no formal cybersecurity steering committee exists, cybersecurity is not a standing ELT agenda item, and no documented cybersecurity strategy explicitly links to the mission. Connection is implicit rather than formalized.</t>
  </si>
  <si>
    <t>GV.OC-02</t>
  </si>
  <si>
    <t>Internal and external stakeholders' cybersecurity needs and expectations are understood and considered</t>
  </si>
  <si>
    <t>MBC reactively addresses stakeholder needs as they arise, SOC 2 Type II in progress per capital partner request, state regulator information requests handled by Compliance, board attention driven by industry breaches. No documented stakeholder map or systematic process to anticipate and integrate expectations into the cybersecurity strategy. Compliance team's regulatory tracker (Smartsheet) covers regulatory stakeholders but not capital partners, customers, or vendors.</t>
  </si>
  <si>
    <t>GV.OC-03</t>
  </si>
  <si>
    <t>Legal, regulatory, and contractual cybersecurity requirements (including privacy and civil liberties) are understood and managed</t>
  </si>
  <si>
    <t>Compliance team (3 FTE) maintains regulatory compliance tracker in Smartsheet covering GLBA, FTC Safeguards, FCRA, BSA/AML, state lending licenses (20+ states), CCPA/CPRA, TILA/RESPA/TRID, and NMLS obligations. External GLBA advisory completed mid-2025. FTC Safeguards Rule program in progress with designated QI and draft ISP (pending board approval). Gap: ISP not yet board-approved; no formal security clause review process for new contracts.</t>
  </si>
  <si>
    <t>GV.OC-04</t>
  </si>
  <si>
    <t>Critical objectives, capabilities, and services that external stakeholders depend on are understood and communicated</t>
  </si>
  <si>
    <t>MBC understands key external dependencies — DR plan documents recovery prioritization (borrower portal → LOS API → admin tools → analytics) with business input. Customer-facing status page (status.meridianbridge.example) communicates service status. Capital partner reporting cadence operational. Gaps: no formal external commitments register, no published SLAs to borrowers, broader service obligations not systematically documented beyond DR scope.</t>
  </si>
  <si>
    <t>GV.OC-05</t>
  </si>
  <si>
    <t>Outcomes, capabilities, and services that the organization depends on are understood and communicated</t>
  </si>
  <si>
    <r>
      <rPr>
        <sz val="12"/>
        <color indexed="8"/>
        <rFont val="Times Roman"/>
      </rPr>
      <t xml:space="preserve">Technical dependencies (AWS, Okta, Salesforce, Plaid, credit bureaus) are known and their status monitored via Datadog and manual status page checks. However, no central vendor inventory exists — vendors tracked across </t>
    </r>
    <r>
      <rPr>
        <u val="single"/>
        <sz val="12"/>
        <color indexed="11"/>
        <rFont val="Times Roman"/>
      </rPr>
      <t>bill.com</t>
    </r>
    <r>
      <rPr>
        <sz val="12"/>
        <color indexed="8"/>
        <rFont val="Times Roman"/>
      </rPr>
      <t xml:space="preserve"> (finance), a Legal Google Sheet, and DocuSign CLM with no master view. No criticality tiering applied. Compliance team aware of regulatory partner dependencies but not integrated with technology dependency mapping.</t>
    </r>
  </si>
  <si>
    <t>Risk Management Strategy</t>
  </si>
  <si>
    <t>GV.RM</t>
  </si>
  <si>
    <t>GV.RM-01</t>
  </si>
  <si>
    <t>Risk management objectives are established and agreed to by organizational stakeholders</t>
  </si>
  <si>
    <t>Implicit risk management objectives exist around achieving SOC 2 Type II and FTC Safeguards compliance, surfaced through CTO/Director of InfoSec conversations. No documented set of risk management objectives formally agreed by leadership. Compliance team maintains a regulatory tracker but it covers obligations, not risk management objectives. Notion-based informal risk list (~30 items, updated 6 weeks ago) is not stakeholder-approved.</t>
  </si>
  <si>
    <t>GV.RM-02</t>
  </si>
  <si>
    <t>Risk appetite and risk tolerance statements are established, communicated, and maintained</t>
  </si>
  <si>
    <t>Risk appetite and tolerance statements are undocumented. Implicit signals exist via leadership behavior (funded SOC 2, Safeguards Rule work, GLBA advisory) but no formal statements have been drafted, communicated, or maintained. No documented thresholds for risk acceptance or escalation.</t>
  </si>
  <si>
    <t>GV.RM-03</t>
  </si>
  <si>
    <t>Cybersecurity risk management activities and outcomes are included in enterprise risk management processes</t>
  </si>
  <si>
    <t>No formal enterprise risk management process exists at MBC. Cybersecurity risks tracked separately in a Notion page; regulatory compliance tracked in Smartsheet by the Compliance team; no unified ERM view. Board's Audit Committee reviews cybersecurity annually unless incident warrants. Cybersecurity not integrated into broader risk management processes.</t>
  </si>
  <si>
    <t>GV.RM-04</t>
  </si>
  <si>
    <t>Strategic direction describing appropriate risk response options is established and communicated</t>
  </si>
  <si>
    <t>No documented risk response strategy or framework defining when to mitigate, transfer, avoid, or accept cybersecurity risks. Decisions made case-by-case by CTO and Director of InfoSec. Mandiant IR retainer (a risk transfer mechanism) exists but is currently expired without renewal — illustrative of unmanaged risk response posture. No communicated strategic direction to managers and practitioners.</t>
  </si>
  <si>
    <t>GV.RM-05</t>
  </si>
  <si>
    <t>Lines of communication across the organization are established for cybersecurity risks, including supplier and third-party risks</t>
  </si>
  <si>
    <t>Informal communication channels exist: Director of InfoSec attends monthly ELT meetings (ad hoc agenda), PagerDuty creates Slack incident channels for incidents. No documented communication framework defining escalation paths, frequency, or content. Third-party risk communication weak: Legal handles vendor diligence during contracting without consistent InfoSec coordination. No formal supplier risk communication channels established.</t>
  </si>
  <si>
    <t>GV.RM-06</t>
  </si>
  <si>
    <t>A standardized method for calculating, documenting, categorizing, and prioritizing cybersecurity risks is established and communicated</t>
  </si>
  <si>
    <t>No standardized cybersecurity risk methodology. Informal Notion risk list (~30 items) lacks consistent severity scoring, likelihood/impact calculation, or categorization. Last updated 6 weeks ago. Incident severity scale (Sev1-4) defined in IR plan but applies to incidents post-occurrence, not to forward-looking risk assessment. No documented method communicated to managers or practitioners.</t>
  </si>
  <si>
    <t>GV.RM-07</t>
  </si>
  <si>
    <t>Strategic opportunities (positive risks) are characterized and included in cybersecurity risk discussions</t>
  </si>
  <si>
    <t>Positive risks (strategic opportunities from cybersecurity investment) not formally characterized or discussed. SOC 2 Type II implicitly viewed as a business enabler (capital partner relationships, future fundraise readiness) but framed as compliance obligation, not opportunity. Practice does not exist in formalized form.</t>
  </si>
  <si>
    <t>Roles, Responsibilities, and Authorities</t>
  </si>
  <si>
    <t>GV.RR</t>
  </si>
  <si>
    <t>GV.RR-01</t>
  </si>
  <si>
    <t>Organizational leadership is responsible and accountable for cybersecurity risk and fosters a risk-aware, ethical, continually improving culture</t>
  </si>
  <si>
    <t>Informal accountability: Director of InfoSec reports to CTO; CTO functionally owns cybersecurity but role is not formally documented as such. Leadership funds program (SOC 2, Safeguards, GLBA work). However: cybersecurity not a standing ELT agenda item, no documented executive accountability statement, no formal culture-building program beyond annual KnowBe4 training and monthly phishing simulations. Board engagement limited to annual review unless incidents warrant.</t>
  </si>
  <si>
    <t>GV.RR-02</t>
  </si>
  <si>
    <t>Roles, responsibilities, and authorities for cybersecurity risk management are established, communicated, understood, and enforced</t>
  </si>
  <si>
    <t>Roles within dedicated security (Director of InfoSec + Security Engineer) and compliance teams (Director + 2 analysts) are clear. IR plan documents incident response roles (IC, Technical Lead, Comms Lead, Legal Liaison). However, broader organizational cybersecurity responsibilities — what business owners, engineers, and managers are accountable for — are not documented. Enforcement of cybersecurity responsibilities outside dedicated teams is informal.</t>
  </si>
  <si>
    <t>GV.RR-03</t>
  </si>
  <si>
    <t>Adequate resources are allocated commensurate with the cybersecurity risk strategy, roles, responsibilities, and policies</t>
  </si>
  <si>
    <t>Material resources allocated, security tooling (CrowdStrike, Okta, Datadog, Tenable, KnowBe4) and dedicated headcount (2 security FTE, 3 compliance FTE). However: small security team for a 210-person regulated fintech, no CISO, expired Mandiant IR retainer, backlog of known issues unaddressed (legacy auth, unencrypted FTP, unapproved policies). Resource allocation not formally tied to documented risk strategy (which doesn't exist).</t>
  </si>
  <si>
    <t>GV.RR-04</t>
  </si>
  <si>
    <t>Cybersecurity is included in human resources practices</t>
  </si>
  <si>
    <t>Annual KnowBe4 security training mandatory for all employees (94% completion). Onboarding/offboarding via Okta provisioning through JIRA tickets. Background checks assumed standard for regulated lender employees (not explicitly documented in addendum). Gaps: no documented HR security policy, cybersecurity responsibilities not explicit in job descriptions, offboarding inconsistent for legacy systems with local accounts, no documented disciplinary framework for security policy violations.</t>
  </si>
  <si>
    <t>Policy</t>
  </si>
  <si>
    <t>GV.PO</t>
  </si>
  <si>
    <t>GV.PO-01</t>
  </si>
  <si>
    <t>Policy for managing cybersecurity risks is established based on organizational context, strategy, and priorities, and is communicated and enforced</t>
  </si>
  <si>
    <t>Five core policies established: Information Security Policy (board-approved 2024), AUP (2023, no GenAI language), Access Control Policy (approved 2024), Incident Response Plan (approved 2024), Vendor Management Policy (drafted, not approved). Stored in Security shared Google Drive. Communication is passive (drive access); enforcement informal. Policy library not comprehensive — gaps in data protection, change management, and encryption policies. AUP has not been reviewed since 2023.</t>
  </si>
  <si>
    <t>GV.PO-02</t>
  </si>
  <si>
    <t>Policy for managing cybersecurity risks is reviewed, updated, and enforced to reflect changes in requirements, threats, technology, and mission</t>
  </si>
  <si>
    <t>Per addendum: no formal policy review cadence exists. Policies updated reactively when audits identify issues. AUP not reviewed since 2023 (over 2 years). No documented schedule for policy review, no documented owner for policy maintenance, no process for incorporating threat or technology changes into policy updates.</t>
  </si>
  <si>
    <t>Oversight</t>
  </si>
  <si>
    <t>GV.OV</t>
  </si>
  <si>
    <t>GV.OV-01</t>
  </si>
  <si>
    <t>Cybersecurity risk management strategy outcomes are reviewed to inform and adjust strategy and direction</t>
  </si>
  <si>
    <t xml:space="preserve">Strategic adjustments observable in response to changing requirements: FTC Safeguards Rule compliance project, SOC 2 Type II push driven by capital partner expectations, increased board attention following industry breaches. However, no documented strategy review process exists. Adjustments are reactive and project-based rather than emerging from a structured review of coverage gaps.
</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</si>
  <si>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</si>
  <si>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</si>
  <si>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</si>
  <si>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</si>
  <si>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Cybersecurity Supply Chain Risk Management</t>
  </si>
  <si>
    <t>GV.SC</t>
  </si>
  <si>
    <t>GV.SC-01</t>
  </si>
  <si>
    <t>A C-SCRM program, strategy, objectives, policies, and processes are established and agreed to by stakeholders</t>
  </si>
  <si>
    <t>GV.SC-02</t>
  </si>
  <si>
    <t>Cybersecurity roles and responsibilities for suppliers, customers, and partners are established, communicated, and coordinated</t>
  </si>
  <si>
    <t>GV.SC-03</t>
  </si>
  <si>
    <t>C-SCRM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</si>
  <si>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</si>
  <si>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</si>
  <si>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</si>
  <si>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t>
  </si>
  <si>
    <t>GV.SC-06</t>
  </si>
  <si>
    <t>Planning and due diligence are performed to reduce risks before entering into supplier or other third-party relationships</t>
  </si>
  <si>
    <t>GV.SC-07</t>
  </si>
  <si>
    <t>Risks posed by suppliers, their products/services, and third parties are recorded, prioritized, assessed, responded to, and monitored</t>
  </si>
  <si>
    <t>GV.SC-08</t>
  </si>
  <si>
    <t>Relevant suppliers and third parties are included in incident planning, response, and recovery activities</t>
  </si>
  <si>
    <t>GV.SC-09</t>
  </si>
  <si>
    <t>Supply chain security practices are integrated into cybersecurity and ERM programs, with performance monitored across product/service lifecycles</t>
  </si>
  <si>
    <t>GV.SC-10</t>
  </si>
  <si>
    <t>C-SCRM plans include provisions for activities that occur after the conclusion of a partnership or service agreement</t>
  </si>
  <si>
    <t>Identify</t>
  </si>
  <si>
    <t>ID</t>
  </si>
  <si>
    <t>Asset Management</t>
  </si>
  <si>
    <t>ID.AM</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</si>
  <si>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</si>
  <si>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</si>
  <si>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</si>
  <si>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</si>
  <si>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</si>
  <si>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</si>
  <si>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</si>
  <si>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</si>
  <si>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</si>
  <si>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</si>
  <si>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</si>
  <si>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</si>
  <si>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</si>
  <si>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</si>
  <si>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Risk Assessment</t>
  </si>
  <si>
    <t>ID.RA</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</si>
  <si>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</si>
  <si>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</si>
  <si>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</si>
  <si>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</si>
  <si>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</si>
  <si>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</si>
  <si>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</si>
  <si>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</si>
  <si>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</si>
  <si>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determine inherent risk and prioritize risk responses</t>
  </si>
  <si>
    <t>ID.RA-06</t>
  </si>
  <si>
    <t>Risk responses are chosen, scoped, prioritized, and communicated</t>
  </si>
  <si>
    <t>ID.RA-07</t>
  </si>
  <si>
    <t>Changes and exceptions are managed, assessed for risk impact, recorded, and tracked</t>
  </si>
  <si>
    <t>ID.RA-08</t>
  </si>
  <si>
    <t>Processes for receiving, analyzing, and responding to vulnerability disclosures are established</t>
  </si>
  <si>
    <t>ID.RA-09</t>
  </si>
  <si>
    <t>Authenticity and integrity of hardware and software are assessed prior to acquisition and use</t>
  </si>
  <si>
    <t>ID.RA-10</t>
  </si>
  <si>
    <t>Critical suppliers are assessed prior to acquisition</t>
  </si>
  <si>
    <t>Improvement</t>
  </si>
  <si>
    <t>ID.IM</t>
  </si>
  <si>
    <t>ID.IM-01</t>
  </si>
  <si>
    <t>Improvements are identified from evaluations</t>
  </si>
  <si>
    <t>ID.IM-02</t>
  </si>
  <si>
    <t>Improvements are identified from security tests and exercises, including those done in coordination with suppliers and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</si>
  <si>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</si>
  <si>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</si>
  <si>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</si>
  <si>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</si>
  <si>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Protect</t>
  </si>
  <si>
    <t>PR</t>
  </si>
  <si>
    <t>Identity Management, Authentication, and Access Control</t>
  </si>
  <si>
    <t>PR.AA</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</si>
  <si>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</si>
  <si>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</si>
  <si>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</si>
  <si>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</si>
  <si>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</si>
  <si>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</si>
  <si>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</si>
  <si>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</si>
  <si>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</si>
  <si>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managed, enforced, and reviewed, incorporating least privilege and separation of duties</t>
  </si>
  <si>
    <t>PR.AA-06</t>
  </si>
  <si>
    <t>Physical access to assets is managed, monitored, and enforced commensurate with risk</t>
  </si>
  <si>
    <t>Awareness and Training</t>
  </si>
  <si>
    <t>PR.AT</t>
  </si>
  <si>
    <t>PR.AT-01</t>
  </si>
  <si>
    <t>Personnel are provided with awareness and training so that they possess the knowledge and skills to perform general cybersecurity-related tasks</t>
  </si>
  <si>
    <t>PR.AT-02</t>
  </si>
  <si>
    <t>Individuals in specialized roles are provided with training so they possess the knowledge and skills to perform relevant cybersecurity-related tasks</t>
  </si>
  <si>
    <t>Data Security</t>
  </si>
  <si>
    <t>PR.DS</t>
  </si>
  <si>
    <t>PR.DS-01</t>
  </si>
  <si>
    <t>Confidentiality, integrity, and availability of data-at-rest are protected</t>
  </si>
  <si>
    <t>PR.DS-02</t>
  </si>
  <si>
    <t>Confidentiality, integrity, and availability of data-in-transit are protected</t>
  </si>
  <si>
    <t>PR.DS-10</t>
  </si>
  <si>
    <t>Confidentiality, integrity, and availability of data-in-use are protected</t>
  </si>
  <si>
    <t>PR.DS-11</t>
  </si>
  <si>
    <t>Backups of data are created, protected, maintained, and tested</t>
  </si>
  <si>
    <t>Platform Security</t>
  </si>
  <si>
    <t>PR.PS</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</si>
  <si>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</si>
  <si>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</si>
  <si>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</si>
  <si>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</si>
  <si>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</si>
  <si>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</si>
  <si>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</si>
  <si>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</si>
  <si>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</si>
  <si>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</si>
  <si>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</si>
  <si>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lifecycle</t>
  </si>
  <si>
    <t>Technology Infrastructure Resilience</t>
  </si>
  <si>
    <t>PR.IR</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</si>
  <si>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</si>
  <si>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</si>
  <si>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</si>
  <si>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</si>
  <si>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</si>
  <si>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</si>
  <si>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</si>
  <si>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</si>
  <si>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Detect</t>
  </si>
  <si>
    <t>DE</t>
  </si>
  <si>
    <t>Continuous Monitoring</t>
  </si>
  <si>
    <t>DE.CM</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</si>
  <si>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</si>
  <si>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</si>
  <si>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</si>
  <si>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</si>
  <si>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</si>
  <si>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</si>
  <si>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</si>
  <si>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</si>
  <si>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</si>
  <si>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</si>
  <si>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Adverse Event Analysis</t>
  </si>
  <si>
    <t>DE.AE</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</si>
  <si>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</si>
  <si>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</si>
  <si>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</si>
  <si>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</si>
  <si>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</si>
  <si>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</si>
  <si>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</si>
  <si>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</si>
  <si>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</si>
  <si>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</si>
  <si>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</si>
  <si>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</si>
  <si>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Respond</t>
  </si>
  <si>
    <t>RS</t>
  </si>
  <si>
    <t>Incident Management</t>
  </si>
  <si>
    <t>RS.MA</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</si>
  <si>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</si>
  <si>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</si>
  <si>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</si>
  <si>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</si>
  <si>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</si>
  <si>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</si>
  <si>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</si>
  <si>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</si>
  <si>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</si>
  <si>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</si>
  <si>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Incident Analysis</t>
  </si>
  <si>
    <t>RS.AN</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</si>
  <si>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</si>
  <si>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</si>
  <si>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</si>
  <si>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</si>
  <si>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</si>
  <si>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</si>
  <si>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</si>
  <si>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</si>
  <si>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Incident Response Reporting and Communication</t>
  </si>
  <si>
    <t>RS.CO</t>
  </si>
  <si>
    <t>RS.CO-02</t>
  </si>
  <si>
    <t>Internal and external stakeholders are notified of incidents</t>
  </si>
  <si>
    <t>RS.CO-03</t>
  </si>
  <si>
    <t>Information is shared with designated internal and external stakeholders</t>
  </si>
  <si>
    <t>Incident Mitigation</t>
  </si>
  <si>
    <t>RS.MI</t>
  </si>
  <si>
    <t>RS.MI-01</t>
  </si>
  <si>
    <t>Incidents are contained</t>
  </si>
  <si>
    <t>RS.MI-02</t>
  </si>
  <si>
    <t>Incidents are eradicated</t>
  </si>
  <si>
    <t>Recover</t>
  </si>
  <si>
    <t>RC</t>
  </si>
  <si>
    <t>Incident Recovery Plan Execution</t>
  </si>
  <si>
    <t>RC.RP</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</si>
  <si>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</si>
  <si>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</si>
  <si>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</si>
  <si>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</si>
  <si>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</si>
  <si>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</si>
  <si>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</si>
  <si>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</si>
  <si>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</si>
  <si>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</si>
  <si>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</si>
  <si>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</si>
  <si>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Incident Recovery Communication</t>
  </si>
  <si>
    <t>RC.CO</t>
  </si>
  <si>
    <t>RC.CO-03</t>
  </si>
  <si>
    <t>Recovery activities and progress in restoring operational capabilities are communicated to designated internal and external stakeholders</t>
  </si>
  <si>
    <t>RC.CO-04</t>
  </si>
  <si>
    <t>Public updates on incident recovery are properly shared using approved methods and messaging</t>
  </si>
  <si>
    <t>Findings</t>
  </si>
  <si>
    <t>Title</t>
  </si>
  <si>
    <t>Subcategory IDs</t>
  </si>
  <si>
    <t>Current State</t>
  </si>
  <si>
    <t>Risk</t>
  </si>
  <si>
    <t>Recommendation</t>
  </si>
  <si>
    <t>Severity (1-5)</t>
  </si>
  <si>
    <t>Effort (S/M/L/XL)</t>
  </si>
  <si>
    <t>Priority</t>
  </si>
  <si>
    <t>Phase</t>
  </si>
  <si>
    <t>Owner</t>
  </si>
  <si>
    <t>F-01</t>
  </si>
  <si>
    <t>No formal cybersecurity supply chain risk management program</t>
  </si>
  <si>
    <t>GV.SC-01, GV.SC-04, GV.SC-07</t>
  </si>
  <si>
    <t>MBC has 80+ third-party vendors but no central inventory, no tiering by criticality, and no recurring re-assessment cadence. Initial diligence is performed informally by Legal during contracting.</t>
  </si>
  <si>
    <t>Critical vendor compromises (e.g., LOS plugins, credit bureau APIs) could go undetected and unmitigated. Likely failure point for FTC Safeguards Rule audit and SOC 2 Type II.</t>
  </si>
  <si>
    <t>Stand up a formal vendor risk management program: vendor inventory with criticality tiering, security questionnaire library, contractual security clauses, annual re-assessment for Tier 1 vendors.</t>
  </si>
  <si>
    <t>L</t>
  </si>
  <si>
    <t>High</t>
  </si>
  <si>
    <t>Phase 1</t>
  </si>
  <si>
    <t>Director of InfoSec</t>
  </si>
  <si>
    <t>Open</t>
  </si>
  <si>
    <t>F-02</t>
  </si>
  <si>
    <t>Privileged access reviews performed ad hoc, not on documented cadence</t>
  </si>
  <si>
    <t>Admin access to AWS, Salesforce, and the LOS is granted as needed but reviewed only when an audit prompts it. No quarterly access certification process exists.</t>
  </si>
  <si>
    <t>Stale privileged access creates insider threat and audit findings. SOC 2 Type II auditors will flag this as a control deficiency.</t>
  </si>
  <si>
    <t>Implement quarterly privileged access reviews. Use Okta + AWS IAM Access Analyzer to generate review lists. Document approver, review date, action taken per account.</t>
  </si>
  <si>
    <t>M</t>
  </si>
  <si>
    <t>Security Engineer</t>
  </si>
  <si>
    <t>↑ Two sample findings above (light blue tint) are illustrative. Replace with your own as you score the subcategories.</t>
  </si>
  <si>
    <t>Dashboard</t>
  </si>
  <si>
    <t>Maturity Dashboard</t>
  </si>
  <si>
    <t>Auto-calculated from the CSF Scoring tab. Updates as you score subcategories.</t>
  </si>
  <si>
    <t>Function-Level Maturity</t>
  </si>
  <si>
    <t>Avg Current</t>
  </si>
  <si>
    <t>Avg Target</t>
  </si>
  <si>
    <t>Avg Gap</t>
  </si>
  <si>
    <t>% Scored</t>
  </si>
  <si>
    <t>Description</t>
  </si>
  <si>
    <t>Establish, communicate, and monitor the organization's cybersecurity risk management strategy, expectations, and policy</t>
  </si>
  <si>
    <t>Help determine the current cybersecurity risk to the organization</t>
  </si>
  <si>
    <t>Use safeguards to prevent or reduce cybersecurity risk</t>
  </si>
  <si>
    <t>Find and analyze possible cybersecurity attacks and compromises</t>
  </si>
  <si>
    <t>Take action regarding a detected cybersecurity incident</t>
  </si>
  <si>
    <t>Restore assets and operations affected by a cybersecurity incident</t>
  </si>
  <si>
    <t>ALL</t>
  </si>
  <si>
    <t>Overall</t>
  </si>
  <si>
    <t>Across all 106 subcategories</t>
  </si>
  <si>
    <t>Gap Distribution</t>
  </si>
  <si>
    <t>Gap Size</t>
  </si>
  <si>
    <t>Meaning</t>
  </si>
  <si>
    <t>Count</t>
  </si>
  <si>
    <t>% of Total</t>
  </si>
  <si>
    <t>On target — no action</t>
  </si>
  <si>
    <t>Minor gap — single tier</t>
  </si>
  <si>
    <t>Moderate gap — two tiers</t>
  </si>
  <si>
    <t>Major gap — three tiers</t>
  </si>
  <si>
    <t>Current Tier Distribution</t>
  </si>
  <si>
    <t>% of Scored</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</si>
</sst>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8"/>
      <color indexed="14"/>
      <name val="Arial"/>
    </font>
    <font>
      <sz val="9"/>
      <color indexed="15"/>
      <name val="Arial"/>
    </font>
    <font>
      <sz val="13"/>
      <color indexed="16"/>
      <name val="Arial"/>
    </font>
    <font>
      <sz val="10"/>
      <color indexed="14"/>
      <name val="Arial"/>
    </font>
    <font>
      <sz val="11"/>
      <color indexed="14"/>
      <name val="Arial"/>
    </font>
    <font>
      <sz val="10"/>
      <color indexed="12"/>
      <name val="Arial"/>
    </font>
    <font>
      <sz val="14"/>
      <color indexed="14"/>
      <name val="Arial"/>
    </font>
    <font>
      <sz val="12"/>
      <color indexed="8"/>
      <name val="Times Roman"/>
    </font>
    <font>
      <u val="single"/>
      <sz val="12"/>
      <color indexed="11"/>
      <name val="Times Roman"/>
    </font>
    <font>
      <sz val="8"/>
      <color indexed="15"/>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8"/>
        <bgColor auto="1"/>
      </patternFill>
    </fill>
    <fill>
      <patternFill patternType="solid">
        <fgColor indexed="14"/>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4"/>
        <bgColor auto="1"/>
      </patternFill>
    </fill>
  </fills>
  <borders count="1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7"/>
      </bottom>
      <diagonal/>
    </border>
    <border>
      <left style="thin">
        <color indexed="13"/>
      </left>
      <right style="thin">
        <color indexed="17"/>
      </right>
      <top style="thin">
        <color indexed="13"/>
      </top>
      <bottom style="thin">
        <color indexed="13"/>
      </bottom>
      <diagonal/>
    </border>
    <border>
      <left style="thin">
        <color indexed="17"/>
      </left>
      <right style="thin">
        <color indexed="17"/>
      </right>
      <top style="thin">
        <color indexed="17"/>
      </top>
      <bottom style="thin">
        <color indexed="17"/>
      </bottom>
      <diagonal/>
    </border>
    <border>
      <left style="thin">
        <color indexed="17"/>
      </left>
      <right style="thin">
        <color indexed="13"/>
      </right>
      <top style="thin">
        <color indexed="13"/>
      </top>
      <bottom style="thin">
        <color indexed="13"/>
      </bottom>
      <diagonal/>
    </border>
    <border>
      <left style="thin">
        <color indexed="13"/>
      </left>
      <right style="thin">
        <color indexed="13"/>
      </right>
      <top style="thin">
        <color indexed="17"/>
      </top>
      <bottom style="thin">
        <color indexed="13"/>
      </bottom>
      <diagonal/>
    </border>
    <border>
      <left style="thin">
        <color indexed="14"/>
      </left>
      <right style="thin">
        <color indexed="14"/>
      </right>
      <top style="thin">
        <color indexed="14"/>
      </top>
      <bottom style="thin">
        <color indexed="17"/>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3"/>
      </top>
      <bottom style="thin">
        <color indexed="13"/>
      </bottom>
      <diagonal/>
    </border>
    <border>
      <left style="thin">
        <color indexed="17"/>
      </left>
      <right style="thin">
        <color indexed="17"/>
      </right>
      <top style="thin">
        <color indexed="17"/>
      </top>
      <bottom style="thin">
        <color indexed="14"/>
      </bottom>
      <diagonal/>
    </border>
    <border>
      <left style="thin">
        <color indexed="14"/>
      </left>
      <right style="thin">
        <color indexed="14"/>
      </right>
      <top style="thin">
        <color indexed="14"/>
      </top>
      <bottom style="thin">
        <color indexed="14"/>
      </bottom>
      <diagonal/>
    </border>
    <border>
      <left style="thin">
        <color indexed="13"/>
      </left>
      <right style="thin">
        <color indexed="13"/>
      </right>
      <top style="thin">
        <color indexed="14"/>
      </top>
      <bottom style="thin">
        <color indexed="13"/>
      </bottom>
      <diagonal/>
    </border>
    <border>
      <left style="thin">
        <color indexed="14"/>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9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borderId="1" applyNumberFormat="0" applyFont="1" applyFill="0" applyBorder="1" applyAlignment="1" applyProtection="0">
      <alignment vertical="bottom"/>
    </xf>
    <xf numFmtId="49" fontId="6" fillId="4" borderId="1" applyNumberFormat="1" applyFont="1" applyFill="1" applyBorder="1" applyAlignment="1" applyProtection="0">
      <alignment vertical="bottom"/>
    </xf>
    <xf numFmtId="49" fontId="7" fillId="4" borderId="1" applyNumberFormat="1" applyFont="1" applyFill="1" applyBorder="1" applyAlignment="1" applyProtection="0">
      <alignment vertical="bottom"/>
    </xf>
    <xf numFmtId="49" fontId="8" fillId="4" borderId="1" applyNumberFormat="1" applyFont="1" applyFill="1" applyBorder="1" applyAlignment="1" applyProtection="0">
      <alignment vertical="bottom"/>
    </xf>
    <xf numFmtId="49" fontId="9" fillId="4" borderId="1" applyNumberFormat="1" applyFont="1" applyFill="1" applyBorder="1" applyAlignment="1" applyProtection="0">
      <alignment horizontal="left" vertical="top" wrapText="1"/>
    </xf>
    <xf numFmtId="49" fontId="8" fillId="4" borderId="2" applyNumberFormat="1" applyFont="1" applyFill="1" applyBorder="1" applyAlignment="1" applyProtection="0">
      <alignment vertical="bottom"/>
    </xf>
    <xf numFmtId="0" fontId="0" fillId="4" borderId="3" applyNumberFormat="0" applyFont="1" applyFill="1" applyBorder="1" applyAlignment="1" applyProtection="0">
      <alignment vertical="bottom"/>
    </xf>
    <xf numFmtId="49" fontId="10" fillId="5" borderId="4" applyNumberFormat="1" applyFont="1" applyFill="1" applyBorder="1" applyAlignment="1" applyProtection="0">
      <alignment horizontal="left" vertical="center" wrapText="1"/>
    </xf>
    <xf numFmtId="0" fontId="0" borderId="5" applyNumberFormat="0" applyFont="1" applyFill="0" applyBorder="1" applyAlignment="1" applyProtection="0">
      <alignment vertical="bottom"/>
    </xf>
    <xf numFmtId="49" fontId="9" fillId="4" borderId="4" applyNumberFormat="1" applyFont="1" applyFill="1" applyBorder="1" applyAlignment="1" applyProtection="0">
      <alignment horizontal="left" vertical="top" wrapText="1"/>
    </xf>
    <xf numFmtId="0" fontId="0" fillId="4" borderId="6" applyNumberFormat="0" applyFont="1" applyFill="1" applyBorder="1" applyAlignment="1" applyProtection="0">
      <alignment vertical="bottom"/>
    </xf>
    <xf numFmtId="49" fontId="7" fillId="4" borderId="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1" fontId="6" fillId="4" borderId="1" applyNumberFormat="1" applyFont="1" applyFill="1" applyBorder="1" applyAlignment="1" applyProtection="0">
      <alignment vertical="bottom"/>
    </xf>
    <xf numFmtId="0" fontId="0" fillId="4" borderId="2" applyNumberFormat="0" applyFont="1" applyFill="1" applyBorder="1" applyAlignment="1" applyProtection="0">
      <alignment vertical="bottom"/>
    </xf>
    <xf numFmtId="49" fontId="11" fillId="6" borderId="4" applyNumberFormat="1" applyFont="1" applyFill="1" applyBorder="1" applyAlignment="1" applyProtection="0">
      <alignment horizontal="center" vertical="center" wrapText="1"/>
    </xf>
    <xf numFmtId="1" fontId="12" fillId="7" borderId="4" applyNumberFormat="1" applyFont="1" applyFill="1" applyBorder="1" applyAlignment="1" applyProtection="0">
      <alignment horizontal="center" vertical="center" wrapText="1"/>
    </xf>
    <xf numFmtId="49" fontId="10" fillId="7" borderId="4" applyNumberFormat="1" applyFont="1" applyFill="1" applyBorder="1" applyAlignment="1" applyProtection="0">
      <alignment horizontal="left" vertical="center" wrapText="1"/>
    </xf>
    <xf numFmtId="49" fontId="9" fillId="7" borderId="4" applyNumberFormat="1" applyFont="1" applyFill="1" applyBorder="1" applyAlignment="1" applyProtection="0">
      <alignment horizontal="left" vertical="top" wrapText="1"/>
    </xf>
    <xf numFmtId="1" fontId="12" fillId="8" borderId="4" applyNumberFormat="1" applyFont="1" applyFill="1" applyBorder="1" applyAlignment="1" applyProtection="0">
      <alignment horizontal="center" vertical="center" wrapText="1"/>
    </xf>
    <xf numFmtId="49" fontId="10" fillId="8" borderId="4" applyNumberFormat="1" applyFont="1" applyFill="1" applyBorder="1" applyAlignment="1" applyProtection="0">
      <alignment horizontal="left" vertical="center" wrapText="1"/>
    </xf>
    <xf numFmtId="49" fontId="9" fillId="8" borderId="4" applyNumberFormat="1" applyFont="1" applyFill="1" applyBorder="1" applyAlignment="1" applyProtection="0">
      <alignment horizontal="left" vertical="top" wrapText="1"/>
    </xf>
    <xf numFmtId="1" fontId="12" fillId="5" borderId="4" applyNumberFormat="1" applyFont="1" applyFill="1" applyBorder="1" applyAlignment="1" applyProtection="0">
      <alignment horizontal="center" vertical="center" wrapText="1"/>
    </xf>
    <xf numFmtId="49" fontId="9" fillId="5" borderId="4" applyNumberFormat="1" applyFont="1" applyFill="1" applyBorder="1" applyAlignment="1" applyProtection="0">
      <alignment horizontal="left" vertical="top" wrapText="1"/>
    </xf>
    <xf numFmtId="1" fontId="12" fillId="9" borderId="4" applyNumberFormat="1" applyFont="1" applyFill="1" applyBorder="1" applyAlignment="1" applyProtection="0">
      <alignment horizontal="center" vertical="center" wrapText="1"/>
    </xf>
    <xf numFmtId="49" fontId="10" fillId="9" borderId="4" applyNumberFormat="1" applyFont="1" applyFill="1" applyBorder="1" applyAlignment="1" applyProtection="0">
      <alignment horizontal="left" vertical="center" wrapText="1"/>
    </xf>
    <xf numFmtId="49" fontId="9" fillId="9" borderId="4" applyNumberFormat="1" applyFont="1" applyFill="1" applyBorder="1" applyAlignment="1" applyProtection="0">
      <alignment horizontal="left" vertical="top" wrapText="1"/>
    </xf>
    <xf numFmtId="1" fontId="8" fillId="4" borderId="1" applyNumberFormat="1" applyFont="1" applyFill="1" applyBorder="1" applyAlignment="1" applyProtection="0">
      <alignment vertical="bottom"/>
    </xf>
    <xf numFmtId="49" fontId="9" fillId="4" borderId="1" applyNumberFormat="1" applyFont="1" applyFill="1" applyBorder="1" applyAlignment="1" applyProtection="0">
      <alignment vertical="bottom"/>
    </xf>
    <xf numFmtId="1" fontId="9"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11" fillId="6" borderId="7" applyNumberFormat="1" applyFont="1" applyFill="1" applyBorder="1" applyAlignment="1" applyProtection="0">
      <alignment horizontal="center" vertical="center" wrapText="1"/>
    </xf>
    <xf numFmtId="49" fontId="9" fillId="5" borderId="4" applyNumberFormat="1" applyFont="1" applyFill="1" applyBorder="1" applyAlignment="1" applyProtection="0">
      <alignment horizontal="center" vertical="center" wrapText="1"/>
    </xf>
    <xf numFmtId="0" fontId="0" fillId="4" borderId="4" applyNumberFormat="1" applyFont="1" applyFill="1" applyBorder="1" applyAlignment="1" applyProtection="0">
      <alignment horizontal="center" vertical="center" wrapText="1"/>
    </xf>
    <xf numFmtId="1" fontId="0" fillId="4" borderId="4" applyNumberFormat="1" applyFont="1" applyFill="1" applyBorder="1" applyAlignment="1" applyProtection="0">
      <alignment horizontal="center" vertical="center" wrapText="1"/>
    </xf>
    <xf numFmtId="49" fontId="13" fillId="4" borderId="4" applyNumberFormat="1" applyFont="1" applyFill="1" applyBorder="1" applyAlignment="1" applyProtection="0">
      <alignment vertical="top" wrapText="1"/>
    </xf>
    <xf numFmtId="0" fontId="0" fillId="4" borderId="4" applyNumberFormat="0" applyFont="1" applyFill="1" applyBorder="1" applyAlignment="1" applyProtection="0">
      <alignment horizontal="center" vertical="center" wrapText="1"/>
    </xf>
    <xf numFmtId="49" fontId="0" fillId="4" borderId="4" applyNumberFormat="1" applyFont="1" applyFill="1" applyBorder="1" applyAlignment="1" applyProtection="0">
      <alignment horizontal="left" vertical="top" wrapText="1"/>
    </xf>
    <xf numFmtId="1" fontId="0" fillId="4" borderId="4" applyNumberFormat="1" applyFont="1" applyFill="1" applyBorder="1" applyAlignment="1" applyProtection="0">
      <alignment horizontal="left" vertical="top" wrapText="1"/>
    </xf>
    <xf numFmtId="49" fontId="9" fillId="9" borderId="4" applyNumberFormat="1" applyFont="1" applyFill="1" applyBorder="1" applyAlignment="1" applyProtection="0">
      <alignment horizontal="center" vertical="center" wrapText="1"/>
    </xf>
    <xf numFmtId="49" fontId="9" fillId="8" borderId="4" applyNumberFormat="1" applyFont="1" applyFill="1" applyBorder="1" applyAlignment="1" applyProtection="0">
      <alignment horizontal="center" vertical="center" wrapText="1"/>
    </xf>
    <xf numFmtId="49" fontId="9" fillId="7" borderId="4" applyNumberFormat="1" applyFont="1" applyFill="1" applyBorder="1" applyAlignment="1" applyProtection="0">
      <alignment horizontal="center" vertical="center" wrapText="1"/>
    </xf>
    <xf numFmtId="49" fontId="9" fillId="10" borderId="4" applyNumberFormat="1" applyFont="1" applyFill="1" applyBorder="1" applyAlignment="1" applyProtection="0">
      <alignment horizontal="center" vertical="center" wrapText="1"/>
    </xf>
    <xf numFmtId="49" fontId="9" fillId="10" borderId="4" applyNumberFormat="1" applyFont="1" applyFill="1" applyBorder="1" applyAlignment="1" applyProtection="0">
      <alignment horizontal="left" vertical="top" wrapText="1"/>
    </xf>
    <xf numFmtId="49" fontId="9" fillId="11" borderId="4" applyNumberFormat="1" applyFont="1" applyFill="1" applyBorder="1" applyAlignment="1" applyProtection="0">
      <alignment horizontal="center" vertical="center" wrapText="1"/>
    </xf>
    <xf numFmtId="49" fontId="9" fillId="11" borderId="4"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1" fontId="9" fillId="5" borderId="4" applyNumberFormat="1" applyFont="1" applyFill="1" applyBorder="1" applyAlignment="1" applyProtection="0">
      <alignment horizontal="center" vertical="center" wrapText="1"/>
    </xf>
    <xf numFmtId="49" fontId="15" fillId="4" borderId="6" applyNumberFormat="1" applyFont="1" applyFill="1" applyBorder="1" applyAlignment="1" applyProtection="0">
      <alignment vertical="bottom"/>
    </xf>
    <xf numFmtId="1" fontId="15" fillId="4" borderId="6" applyNumberFormat="1" applyFont="1" applyFill="1" applyBorder="1" applyAlignment="1" applyProtection="0">
      <alignment vertical="bottom"/>
    </xf>
    <xf numFmtId="0" fontId="15" fillId="4" borderId="6" applyNumberFormat="0" applyFont="1" applyFill="1" applyBorder="1" applyAlignment="1" applyProtection="0">
      <alignment vertical="bottom"/>
    </xf>
    <xf numFmtId="0" fontId="0" applyNumberFormat="1" applyFont="1" applyFill="0" applyBorder="0" applyAlignment="1" applyProtection="0">
      <alignment vertical="bottom"/>
    </xf>
    <xf numFmtId="1" fontId="7" fillId="4" borderId="1" applyNumberFormat="1" applyFont="1" applyFill="1" applyBorder="1" applyAlignment="1" applyProtection="0">
      <alignment vertical="bottom"/>
    </xf>
    <xf numFmtId="49" fontId="8" fillId="4" borderId="8" applyNumberFormat="1" applyFont="1" applyFill="1" applyBorder="1" applyAlignment="1" applyProtection="0">
      <alignment vertical="bottom"/>
    </xf>
    <xf numFmtId="1" fontId="8" fillId="4" borderId="8"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49" fontId="10" fillId="5" borderId="4" applyNumberFormat="1" applyFont="1" applyFill="1" applyBorder="1" applyAlignment="1" applyProtection="0">
      <alignment horizontal="center" vertical="center" wrapText="1"/>
    </xf>
    <xf numFmtId="2" fontId="0" fillId="4" borderId="4" applyNumberFormat="1" applyFont="1" applyFill="1" applyBorder="1" applyAlignment="1" applyProtection="0">
      <alignment horizontal="center" vertical="center" wrapText="1"/>
    </xf>
    <xf numFmtId="9" fontId="0" fillId="4" borderId="4" applyNumberFormat="1" applyFont="1" applyFill="1" applyBorder="1" applyAlignment="1" applyProtection="0">
      <alignment horizontal="center" vertical="center" wrapText="1"/>
    </xf>
    <xf numFmtId="49" fontId="7" fillId="4" borderId="4" applyNumberFormat="1" applyFont="1" applyFill="1" applyBorder="1" applyAlignment="1" applyProtection="0">
      <alignment horizontal="left" vertical="top" wrapText="1"/>
    </xf>
    <xf numFmtId="49" fontId="10" fillId="9" borderId="4" applyNumberFormat="1" applyFont="1" applyFill="1" applyBorder="1" applyAlignment="1" applyProtection="0">
      <alignment horizontal="center" vertical="center" wrapText="1"/>
    </xf>
    <xf numFmtId="49" fontId="10" fillId="8" borderId="4" applyNumberFormat="1" applyFont="1" applyFill="1" applyBorder="1" applyAlignment="1" applyProtection="0">
      <alignment horizontal="center" vertical="center" wrapText="1"/>
    </xf>
    <xf numFmtId="49" fontId="10" fillId="7" borderId="4" applyNumberFormat="1" applyFont="1" applyFill="1" applyBorder="1" applyAlignment="1" applyProtection="0">
      <alignment horizontal="center" vertical="center" wrapText="1"/>
    </xf>
    <xf numFmtId="49" fontId="10" fillId="10" borderId="4" applyNumberFormat="1" applyFont="1" applyFill="1" applyBorder="1" applyAlignment="1" applyProtection="0">
      <alignment horizontal="center" vertical="center" wrapText="1"/>
    </xf>
    <xf numFmtId="49" fontId="10" fillId="11" borderId="10" applyNumberFormat="1" applyFont="1" applyFill="1" applyBorder="1" applyAlignment="1" applyProtection="0">
      <alignment horizontal="center" vertical="center" wrapText="1"/>
    </xf>
    <xf numFmtId="49" fontId="9" fillId="4" borderId="10" applyNumberFormat="1" applyFont="1" applyFill="1" applyBorder="1" applyAlignment="1" applyProtection="0">
      <alignment horizontal="left" vertical="top" wrapText="1"/>
    </xf>
    <xf numFmtId="0" fontId="0" fillId="4" borderId="10" applyNumberFormat="0" applyFont="1" applyFill="1" applyBorder="1" applyAlignment="1" applyProtection="0">
      <alignment horizontal="center" vertical="center" wrapText="1"/>
    </xf>
    <xf numFmtId="9" fontId="0" fillId="4" borderId="10" applyNumberFormat="1" applyFont="1" applyFill="1" applyBorder="1" applyAlignment="1" applyProtection="0">
      <alignment horizontal="center" vertical="center" wrapText="1"/>
    </xf>
    <xf numFmtId="49" fontId="7" fillId="4" borderId="10" applyNumberFormat="1" applyFont="1" applyFill="1" applyBorder="1" applyAlignment="1" applyProtection="0">
      <alignment horizontal="left" vertical="top" wrapText="1"/>
    </xf>
    <xf numFmtId="49" fontId="11" fillId="6" borderId="11" applyNumberFormat="1" applyFont="1" applyFill="1" applyBorder="1" applyAlignment="1" applyProtection="0">
      <alignment horizontal="center" vertical="center" wrapText="1"/>
    </xf>
    <xf numFmtId="49" fontId="11" fillId="6" borderId="11" applyNumberFormat="1" applyFont="1" applyFill="1" applyBorder="1" applyAlignment="1" applyProtection="0">
      <alignment horizontal="left" vertical="center" wrapText="1"/>
    </xf>
    <xf numFmtId="2" fontId="11" fillId="6" borderId="11" applyNumberFormat="1" applyFont="1" applyFill="1" applyBorder="1" applyAlignment="1" applyProtection="0">
      <alignment horizontal="center" vertical="center" wrapText="1"/>
    </xf>
    <xf numFmtId="9" fontId="11" fillId="6" borderId="11" applyNumberFormat="1" applyFont="1" applyFill="1" applyBorder="1" applyAlignment="1" applyProtection="0">
      <alignment horizontal="center" vertical="center" wrapText="1"/>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1" fontId="10" fillId="9" borderId="4" applyNumberFormat="1" applyFont="1" applyFill="1" applyBorder="1" applyAlignment="1" applyProtection="0">
      <alignment horizontal="center" vertical="center" wrapText="1"/>
    </xf>
    <xf numFmtId="49" fontId="9" fillId="9" borderId="4" applyNumberFormat="1" applyFont="1" applyFill="1" applyBorder="1" applyAlignment="1" applyProtection="0">
      <alignment horizontal="left" vertical="center" wrapText="1"/>
    </xf>
    <xf numFmtId="1" fontId="9" fillId="9" borderId="4" applyNumberFormat="1" applyFont="1" applyFill="1" applyBorder="1" applyAlignment="1" applyProtection="0">
      <alignment horizontal="center" vertical="center" wrapText="1"/>
    </xf>
    <xf numFmtId="9" fontId="0" fillId="9" borderId="4" applyNumberFormat="1" applyFont="1" applyFill="1" applyBorder="1" applyAlignment="1" applyProtection="0">
      <alignment horizontal="center" vertical="center" wrapText="1"/>
    </xf>
    <xf numFmtId="0" fontId="0" fillId="4" borderId="5" applyNumberFormat="0" applyFont="1" applyFill="1" applyBorder="1" applyAlignment="1" applyProtection="0">
      <alignment vertical="bottom"/>
    </xf>
    <xf numFmtId="1" fontId="10" fillId="5" borderId="4" applyNumberFormat="1" applyFont="1" applyFill="1" applyBorder="1" applyAlignment="1" applyProtection="0">
      <alignment horizontal="center" vertical="center" wrapText="1"/>
    </xf>
    <xf numFmtId="49" fontId="9" fillId="5" borderId="4" applyNumberFormat="1" applyFont="1" applyFill="1" applyBorder="1" applyAlignment="1" applyProtection="0">
      <alignment horizontal="left" vertical="center" wrapText="1"/>
    </xf>
    <xf numFmtId="9" fontId="0" fillId="5" borderId="4" applyNumberFormat="1" applyFont="1" applyFill="1" applyBorder="1" applyAlignment="1" applyProtection="0">
      <alignment horizontal="center" vertical="center" wrapText="1"/>
    </xf>
    <xf numFmtId="1" fontId="10" fillId="8" borderId="4" applyNumberFormat="1" applyFont="1" applyFill="1" applyBorder="1" applyAlignment="1" applyProtection="0">
      <alignment horizontal="center" vertical="center" wrapText="1"/>
    </xf>
    <xf numFmtId="49" fontId="9" fillId="8" borderId="4" applyNumberFormat="1" applyFont="1" applyFill="1" applyBorder="1" applyAlignment="1" applyProtection="0">
      <alignment horizontal="left" vertical="center" wrapText="1"/>
    </xf>
    <xf numFmtId="1" fontId="9" fillId="8" borderId="4" applyNumberFormat="1" applyFont="1" applyFill="1" applyBorder="1" applyAlignment="1" applyProtection="0">
      <alignment horizontal="center" vertical="center" wrapText="1"/>
    </xf>
    <xf numFmtId="9" fontId="0" fillId="8" borderId="4" applyNumberFormat="1" applyFont="1" applyFill="1" applyBorder="1" applyAlignment="1" applyProtection="0">
      <alignment horizontal="center" vertical="center" wrapText="1"/>
    </xf>
    <xf numFmtId="1" fontId="10" fillId="7" borderId="4" applyNumberFormat="1" applyFont="1" applyFill="1" applyBorder="1" applyAlignment="1" applyProtection="0">
      <alignment horizontal="center" vertical="center" wrapText="1"/>
    </xf>
    <xf numFmtId="49" fontId="9" fillId="7" borderId="4" applyNumberFormat="1" applyFont="1" applyFill="1" applyBorder="1" applyAlignment="1" applyProtection="0">
      <alignment horizontal="left" vertical="center" wrapText="1"/>
    </xf>
    <xf numFmtId="1" fontId="9" fillId="7" borderId="4" applyNumberFormat="1" applyFont="1" applyFill="1" applyBorder="1" applyAlignment="1" applyProtection="0">
      <alignment horizontal="center" vertical="center" wrapText="1"/>
    </xf>
    <xf numFmtId="9" fontId="0" fillId="7" borderId="4" applyNumberFormat="1" applyFont="1" applyFill="1" applyBorder="1" applyAlignment="1" applyProtection="0">
      <alignment horizontal="center" vertical="center" wrapText="1"/>
    </xf>
  </cellXfs>
  <cellStyles count="1">
    <cellStyle name="Normal" xfId="0" builtinId="0"/>
  </cellStyles>
  <dxfs count="8">
    <dxf>
      <fill>
        <patternFill patternType="solid">
          <fgColor indexed="22"/>
          <bgColor indexed="19"/>
        </patternFill>
      </fill>
    </dxf>
    <dxf>
      <fill>
        <patternFill patternType="solid">
          <fgColor indexed="22"/>
          <bgColor indexed="20"/>
        </patternFill>
      </fill>
    </dxf>
    <dxf>
      <fill>
        <patternFill patternType="solid">
          <fgColor indexed="22"/>
          <bgColor indexed="18"/>
        </patternFill>
      </fill>
    </dxf>
    <dxf>
      <fill>
        <patternFill patternType="solid">
          <fgColor indexed="22"/>
          <bgColor indexed="21"/>
        </patternFill>
      </fill>
    </dxf>
    <dxf>
      <fill>
        <patternFill patternType="solid">
          <fgColor indexed="22"/>
          <bgColor indexed="19"/>
        </patternFill>
      </fill>
    </dxf>
    <dxf>
      <fill>
        <patternFill patternType="solid">
          <fgColor indexed="22"/>
          <bgColor indexed="20"/>
        </patternFill>
      </fill>
    </dxf>
    <dxf>
      <fill>
        <patternFill patternType="solid">
          <fgColor indexed="22"/>
          <bgColor indexed="18"/>
        </patternFill>
      </fill>
    </dxf>
    <dxf>
      <fill>
        <patternFill patternType="solid">
          <fgColor indexed="22"/>
          <bgColor indexed="21"/>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f1b2d"/>
      <rgbColor rgb="ff5b6573"/>
      <rgbColor rgb="ff1f6fb2"/>
      <rgbColor rgb="ffd9d4c7"/>
      <rgbColor rgb="ffebf2f9"/>
      <rgbColor rgb="fffbe9e4"/>
      <rgbColor rgb="fffff4d6"/>
      <rgbColor rgb="ffeaf3ec"/>
      <rgbColor rgb="00000000"/>
      <rgbColor rgb="fff3e8f4"/>
      <rgbColor rgb="ffe8f0e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hyperlink" Target="http://bill.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29</v>
      </c>
      <c r="C11" s="3"/>
      <c r="D11" s="3"/>
    </row>
    <row r="12">
      <c r="B12" s="4"/>
      <c r="C12" t="s" s="4">
        <v>5</v>
      </c>
      <c r="D12" t="s" s="5">
        <v>29</v>
      </c>
    </row>
    <row r="13">
      <c r="B13" t="s" s="3">
        <v>54</v>
      </c>
      <c r="C13" s="3"/>
      <c r="D13" s="3"/>
    </row>
    <row r="14">
      <c r="B14" s="4"/>
      <c r="C14" t="s" s="4">
        <v>5</v>
      </c>
      <c r="D14" t="s" s="5">
        <v>54</v>
      </c>
    </row>
    <row r="15">
      <c r="B15" t="s" s="3">
        <v>354</v>
      </c>
      <c r="C15" s="3"/>
      <c r="D15" s="3"/>
    </row>
    <row r="16">
      <c r="B16" s="4"/>
      <c r="C16" t="s" s="4">
        <v>5</v>
      </c>
      <c r="D16" t="s" s="5">
        <v>354</v>
      </c>
    </row>
    <row r="17">
      <c r="B17" t="s" s="3">
        <v>384</v>
      </c>
      <c r="C17" s="3"/>
      <c r="D17" s="3"/>
    </row>
    <row r="18">
      <c r="B18" s="4"/>
      <c r="C18" t="s" s="4">
        <v>5</v>
      </c>
      <c r="D18" t="s" s="5">
        <v>384</v>
      </c>
    </row>
  </sheetData>
  <mergeCells count="1">
    <mergeCell ref="B3:D3"/>
  </mergeCells>
  <hyperlinks>
    <hyperlink ref="D10" location="'README'!R1C1" tooltip="" display="README"/>
    <hyperlink ref="D12" location="'Rubric'!R1C1" tooltip="" display="Rubric"/>
    <hyperlink ref="D14" location="'CSF Scoring'!R1C1" tooltip="" display="CSF Scoring"/>
    <hyperlink ref="D16" location="'Findings'!R1C1" tooltip="" display="Findings"/>
    <hyperlink ref="D18" location="'Dashboard'!R1C1" tooltip="" display="Dashboard"/>
  </hyperlinks>
</worksheet>
</file>

<file path=xl/worksheets/sheet2.xml><?xml version="1.0" encoding="utf-8"?>
<worksheet xmlns:r="http://schemas.openxmlformats.org/officeDocument/2006/relationships" xmlns="http://schemas.openxmlformats.org/spreadsheetml/2006/main">
  <dimension ref="A1:E27"/>
  <sheetViews>
    <sheetView workbookViewId="0" showGridLines="0" defaultGridColor="1"/>
  </sheetViews>
  <sheetFormatPr defaultColWidth="8.66667" defaultRowHeight="15" customHeight="1" outlineLevelRow="0" outlineLevelCol="0"/>
  <cols>
    <col min="1" max="1" width="4" style="6" customWidth="1"/>
    <col min="2" max="2" width="95" style="6" customWidth="1"/>
    <col min="3" max="5" width="8.67188" style="6" customWidth="1"/>
    <col min="6" max="16384" width="8.67188" style="6" customWidth="1"/>
  </cols>
  <sheetData>
    <row r="1" ht="13.55" customHeight="1">
      <c r="A1" s="7"/>
      <c r="B1" s="7"/>
      <c r="C1" s="8"/>
      <c r="D1" s="8"/>
      <c r="E1" s="8"/>
    </row>
    <row r="2" ht="30" customHeight="1">
      <c r="A2" s="7"/>
      <c r="B2" t="s" s="9">
        <v>6</v>
      </c>
      <c r="C2" s="8"/>
      <c r="D2" s="8"/>
      <c r="E2" s="8"/>
    </row>
    <row r="3" ht="13.55" customHeight="1">
      <c r="A3" s="7"/>
      <c r="B3" t="s" s="10">
        <v>7</v>
      </c>
      <c r="C3" s="8"/>
      <c r="D3" s="8"/>
      <c r="E3" s="8"/>
    </row>
    <row r="4" ht="13.55" customHeight="1">
      <c r="A4" s="7"/>
      <c r="B4" s="7"/>
      <c r="C4" s="8"/>
      <c r="D4" s="8"/>
      <c r="E4" s="8"/>
    </row>
    <row r="5" ht="17.55" customHeight="1">
      <c r="A5" s="7"/>
      <c r="B5" t="s" s="11">
        <v>8</v>
      </c>
      <c r="C5" s="8"/>
      <c r="D5" s="8"/>
      <c r="E5" s="8"/>
    </row>
    <row r="6" ht="54.75" customHeight="1">
      <c r="A6" s="7"/>
      <c r="B6" t="s" s="12">
        <v>9</v>
      </c>
      <c r="C6" s="8"/>
      <c r="D6" s="8"/>
      <c r="E6" s="8"/>
    </row>
    <row r="7" ht="13.55" customHeight="1">
      <c r="A7" s="7"/>
      <c r="B7" s="7"/>
      <c r="C7" s="8"/>
      <c r="D7" s="8"/>
      <c r="E7" s="8"/>
    </row>
    <row r="8" ht="17.55" customHeight="1">
      <c r="A8" s="7"/>
      <c r="B8" t="s" s="13">
        <v>10</v>
      </c>
      <c r="C8" s="8"/>
      <c r="D8" s="8"/>
      <c r="E8" s="8"/>
    </row>
    <row r="9" ht="14.6" customHeight="1">
      <c r="A9" s="14"/>
      <c r="B9" t="s" s="15">
        <v>11</v>
      </c>
      <c r="C9" s="16"/>
      <c r="D9" s="8"/>
      <c r="E9" s="8"/>
    </row>
    <row r="10" ht="21.75" customHeight="1">
      <c r="A10" s="14"/>
      <c r="B10" t="s" s="17">
        <v>12</v>
      </c>
      <c r="C10" s="16"/>
      <c r="D10" s="8"/>
      <c r="E10" s="8"/>
    </row>
    <row r="11" ht="14.6" customHeight="1">
      <c r="A11" s="14"/>
      <c r="B11" t="s" s="15">
        <v>13</v>
      </c>
      <c r="C11" s="16"/>
      <c r="D11" s="8"/>
      <c r="E11" s="8"/>
    </row>
    <row r="12" ht="21.75" customHeight="1">
      <c r="A12" s="14"/>
      <c r="B12" t="s" s="17">
        <v>14</v>
      </c>
      <c r="C12" s="16"/>
      <c r="D12" s="8"/>
      <c r="E12" s="8"/>
    </row>
    <row r="13" ht="14.6" customHeight="1">
      <c r="A13" s="14"/>
      <c r="B13" t="s" s="15">
        <v>15</v>
      </c>
      <c r="C13" s="16"/>
      <c r="D13" s="8"/>
      <c r="E13" s="8"/>
    </row>
    <row r="14" ht="21.75" customHeight="1">
      <c r="A14" s="14"/>
      <c r="B14" t="s" s="17">
        <v>16</v>
      </c>
      <c r="C14" s="16"/>
      <c r="D14" s="8"/>
      <c r="E14" s="8"/>
    </row>
    <row r="15" ht="14.6" customHeight="1">
      <c r="A15" s="14"/>
      <c r="B15" t="s" s="15">
        <v>17</v>
      </c>
      <c r="C15" s="16"/>
      <c r="D15" s="8"/>
      <c r="E15" s="8"/>
    </row>
    <row r="16" ht="21.75" customHeight="1">
      <c r="A16" s="14"/>
      <c r="B16" t="s" s="17">
        <v>18</v>
      </c>
      <c r="C16" s="16"/>
      <c r="D16" s="8"/>
      <c r="E16" s="8"/>
    </row>
    <row r="17" ht="14.6" customHeight="1">
      <c r="A17" s="14"/>
      <c r="B17" t="s" s="15">
        <v>19</v>
      </c>
      <c r="C17" s="16"/>
      <c r="D17" s="8"/>
      <c r="E17" s="8"/>
    </row>
    <row r="18" ht="21.75" customHeight="1">
      <c r="A18" s="14"/>
      <c r="B18" t="s" s="17">
        <v>20</v>
      </c>
      <c r="C18" s="16"/>
      <c r="D18" s="8"/>
      <c r="E18" s="8"/>
    </row>
    <row r="19" ht="14.6" customHeight="1">
      <c r="A19" s="14"/>
      <c r="B19" t="s" s="15">
        <v>21</v>
      </c>
      <c r="C19" s="16"/>
      <c r="D19" s="8"/>
      <c r="E19" s="8"/>
    </row>
    <row r="20" ht="21.75" customHeight="1">
      <c r="A20" s="14"/>
      <c r="B20" t="s" s="17">
        <v>22</v>
      </c>
      <c r="C20" s="16"/>
      <c r="D20" s="8"/>
      <c r="E20" s="8"/>
    </row>
    <row r="21" ht="14.6" customHeight="1">
      <c r="A21" s="14"/>
      <c r="B21" t="s" s="15">
        <v>23</v>
      </c>
      <c r="C21" s="16"/>
      <c r="D21" s="8"/>
      <c r="E21" s="8"/>
    </row>
    <row r="22" ht="21.75" customHeight="1">
      <c r="A22" s="14"/>
      <c r="B22" t="s" s="17">
        <v>24</v>
      </c>
      <c r="C22" s="16"/>
      <c r="D22" s="8"/>
      <c r="E22" s="8"/>
    </row>
    <row r="23" ht="14.6" customHeight="1">
      <c r="A23" s="14"/>
      <c r="B23" t="s" s="15">
        <v>25</v>
      </c>
      <c r="C23" s="16"/>
      <c r="D23" s="8"/>
      <c r="E23" s="8"/>
    </row>
    <row r="24" ht="21.75" customHeight="1">
      <c r="A24" s="14"/>
      <c r="B24" t="s" s="17">
        <v>26</v>
      </c>
      <c r="C24" s="16"/>
      <c r="D24" s="8"/>
      <c r="E24" s="8"/>
    </row>
    <row r="25" ht="13.55" customHeight="1">
      <c r="A25" s="7"/>
      <c r="B25" s="18"/>
      <c r="C25" s="8"/>
      <c r="D25" s="8"/>
      <c r="E25" s="8"/>
    </row>
    <row r="26" ht="17.55" customHeight="1">
      <c r="A26" s="7"/>
      <c r="B26" t="s" s="11">
        <v>27</v>
      </c>
      <c r="C26" s="8"/>
      <c r="D26" s="8"/>
      <c r="E26" s="8"/>
    </row>
    <row r="27" ht="49.5" customHeight="1">
      <c r="A27" s="7"/>
      <c r="B27" t="s" s="19">
        <v>28</v>
      </c>
      <c r="C27" s="8"/>
      <c r="D27" s="8"/>
      <c r="E27" s="8"/>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4" style="20" customWidth="1"/>
    <col min="2" max="2" width="8" style="20" customWidth="1"/>
    <col min="3" max="3" width="18" style="20" customWidth="1"/>
    <col min="4" max="4" width="45" style="20" customWidth="1"/>
    <col min="5" max="5" width="35" style="20" customWidth="1"/>
    <col min="6" max="16384" width="8.67188" style="20" customWidth="1"/>
  </cols>
  <sheetData>
    <row r="1" ht="13.55" customHeight="1">
      <c r="A1" s="7"/>
      <c r="B1" s="7"/>
      <c r="C1" s="7"/>
      <c r="D1" s="7"/>
      <c r="E1" s="7"/>
    </row>
    <row r="2" ht="23.4" customHeight="1">
      <c r="A2" s="7"/>
      <c r="B2" t="s" s="9">
        <v>30</v>
      </c>
      <c r="C2" s="21"/>
      <c r="D2" s="21"/>
      <c r="E2" s="21"/>
    </row>
    <row r="3" ht="13.55" customHeight="1">
      <c r="A3" s="7"/>
      <c r="B3" s="22"/>
      <c r="C3" s="22"/>
      <c r="D3" s="22"/>
      <c r="E3" s="22"/>
    </row>
    <row r="4" ht="21.75" customHeight="1">
      <c r="A4" s="14"/>
      <c r="B4" t="s" s="23">
        <v>31</v>
      </c>
      <c r="C4" t="s" s="23">
        <v>32</v>
      </c>
      <c r="D4" t="s" s="23">
        <v>33</v>
      </c>
      <c r="E4" t="s" s="23">
        <v>34</v>
      </c>
    </row>
    <row r="5" ht="60" customHeight="1">
      <c r="A5" s="14"/>
      <c r="B5" s="24">
        <v>1</v>
      </c>
      <c r="C5" t="s" s="25">
        <v>35</v>
      </c>
      <c r="D5" t="s" s="26">
        <v>36</v>
      </c>
      <c r="E5" t="s" s="26">
        <v>37</v>
      </c>
    </row>
    <row r="6" ht="60" customHeight="1">
      <c r="A6" s="14"/>
      <c r="B6" s="27">
        <v>2</v>
      </c>
      <c r="C6" t="s" s="28">
        <v>38</v>
      </c>
      <c r="D6" t="s" s="29">
        <v>39</v>
      </c>
      <c r="E6" t="s" s="29">
        <v>40</v>
      </c>
    </row>
    <row r="7" ht="60" customHeight="1">
      <c r="A7" s="14"/>
      <c r="B7" s="30">
        <v>3</v>
      </c>
      <c r="C7" t="s" s="15">
        <v>41</v>
      </c>
      <c r="D7" t="s" s="31">
        <v>42</v>
      </c>
      <c r="E7" t="s" s="31">
        <v>43</v>
      </c>
    </row>
    <row r="8" ht="60" customHeight="1">
      <c r="A8" s="14"/>
      <c r="B8" s="32">
        <v>4</v>
      </c>
      <c r="C8" t="s" s="33">
        <v>44</v>
      </c>
      <c r="D8" t="s" s="34">
        <v>45</v>
      </c>
      <c r="E8" t="s" s="34">
        <v>46</v>
      </c>
    </row>
    <row r="9" ht="13.55" customHeight="1">
      <c r="A9" s="7"/>
      <c r="B9" s="18"/>
      <c r="C9" s="18"/>
      <c r="D9" s="18"/>
      <c r="E9" s="18"/>
    </row>
    <row r="10" ht="13.55" customHeight="1">
      <c r="A10" s="7"/>
      <c r="B10" s="7"/>
      <c r="C10" s="7"/>
      <c r="D10" s="7"/>
      <c r="E10" s="7"/>
    </row>
    <row r="11" ht="17.55" customHeight="1">
      <c r="A11" s="7"/>
      <c r="B11" t="s" s="11">
        <v>47</v>
      </c>
      <c r="C11" s="35"/>
      <c r="D11" s="35"/>
      <c r="E11" s="35"/>
    </row>
    <row r="12" ht="13.65" customHeight="1">
      <c r="A12" s="7"/>
      <c r="B12" t="s" s="36">
        <v>48</v>
      </c>
      <c r="C12" s="37"/>
      <c r="D12" s="37"/>
      <c r="E12" s="37"/>
    </row>
    <row r="13" ht="13.65" customHeight="1">
      <c r="A13" s="7"/>
      <c r="B13" t="s" s="36">
        <v>49</v>
      </c>
      <c r="C13" s="37"/>
      <c r="D13" s="37"/>
      <c r="E13" s="37"/>
    </row>
    <row r="14" ht="13.65" customHeight="1">
      <c r="A14" s="7"/>
      <c r="B14" t="s" s="36">
        <v>50</v>
      </c>
      <c r="C14" s="37"/>
      <c r="D14" s="37"/>
      <c r="E14" s="37"/>
    </row>
    <row r="15" ht="13.65" customHeight="1">
      <c r="A15" s="7"/>
      <c r="B15" t="s" s="36">
        <v>51</v>
      </c>
      <c r="C15" s="37"/>
      <c r="D15" s="37"/>
      <c r="E15" s="37"/>
    </row>
    <row r="16" ht="13.65" customHeight="1">
      <c r="A16" s="7"/>
      <c r="B16" t="s" s="36">
        <v>52</v>
      </c>
      <c r="C16" s="37"/>
      <c r="D16" s="37"/>
      <c r="E16" s="37"/>
    </row>
    <row r="17" ht="13.65" customHeight="1">
      <c r="A17" s="7"/>
      <c r="B17" t="s" s="36">
        <v>53</v>
      </c>
      <c r="C17" s="37"/>
      <c r="D17" s="37"/>
      <c r="E17" s="37"/>
    </row>
  </sheetData>
  <mergeCells count="8">
    <mergeCell ref="B2:E2"/>
    <mergeCell ref="B11:E11"/>
    <mergeCell ref="B12:E12"/>
    <mergeCell ref="B13:E13"/>
    <mergeCell ref="B14:E14"/>
    <mergeCell ref="B15:E15"/>
    <mergeCell ref="B16:E16"/>
    <mergeCell ref="B17:E1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L107"/>
  <sheetViews>
    <sheetView workbookViewId="0" showGridLines="0" defaultGridColor="1"/>
  </sheetViews>
  <sheetFormatPr defaultColWidth="8.66667" defaultRowHeight="15" customHeight="1" outlineLevelRow="0" outlineLevelCol="0"/>
  <cols>
    <col min="1" max="1" width="11" style="38" customWidth="1"/>
    <col min="2" max="2" width="7" style="38" customWidth="1"/>
    <col min="3" max="3" width="30" style="38" customWidth="1"/>
    <col min="4" max="4" width="9" style="38" customWidth="1"/>
    <col min="5" max="5" width="14" style="38" customWidth="1"/>
    <col min="6" max="6" width="60" style="38" customWidth="1"/>
    <col min="7" max="8" width="11" style="38" customWidth="1"/>
    <col min="9" max="9" width="7" style="38" customWidth="1"/>
    <col min="10" max="10" width="50" style="38" customWidth="1"/>
    <col min="11" max="11" width="11" style="38" customWidth="1"/>
    <col min="12" max="12" width="13" style="38" customWidth="1"/>
    <col min="13" max="16384" width="8.67188" style="38" customWidth="1"/>
  </cols>
  <sheetData>
    <row r="1" ht="30" customHeight="1">
      <c r="A1" t="s" s="39">
        <v>55</v>
      </c>
      <c r="B1" t="s" s="39">
        <v>56</v>
      </c>
      <c r="C1" t="s" s="39">
        <v>57</v>
      </c>
      <c r="D1" t="s" s="39">
        <v>58</v>
      </c>
      <c r="E1" t="s" s="39">
        <v>59</v>
      </c>
      <c r="F1" t="s" s="39">
        <v>60</v>
      </c>
      <c r="G1" t="s" s="39">
        <v>61</v>
      </c>
      <c r="H1" t="s" s="39">
        <v>62</v>
      </c>
      <c r="I1" t="s" s="39">
        <v>63</v>
      </c>
      <c r="J1" t="s" s="39">
        <v>64</v>
      </c>
      <c r="K1" t="s" s="39">
        <v>65</v>
      </c>
      <c r="L1" t="s" s="39">
        <v>66</v>
      </c>
    </row>
    <row r="2" ht="36" customHeight="1">
      <c r="A2" t="s" s="40">
        <v>67</v>
      </c>
      <c r="B2" t="s" s="40">
        <v>68</v>
      </c>
      <c r="C2" t="s" s="31">
        <v>69</v>
      </c>
      <c r="D2" t="s" s="40">
        <v>70</v>
      </c>
      <c r="E2" t="s" s="40">
        <v>71</v>
      </c>
      <c r="F2" t="s" s="17">
        <v>72</v>
      </c>
      <c r="G2" s="41">
        <v>2</v>
      </c>
      <c r="H2" s="41">
        <v>3</v>
      </c>
      <c r="I2" s="42" cm="1">
        <f t="array" ref="I2">IF(AND(ISNUMBER(G2),ISNUMBER(H2)),H2-G2,"")</f>
        <v>1</v>
      </c>
      <c r="J2" t="s" s="43">
        <v>73</v>
      </c>
      <c r="K2" s="42"/>
      <c r="L2" s="44"/>
    </row>
    <row r="3" ht="36" customHeight="1">
      <c r="A3" t="s" s="40">
        <v>67</v>
      </c>
      <c r="B3" t="s" s="40">
        <v>68</v>
      </c>
      <c r="C3" t="s" s="31">
        <v>69</v>
      </c>
      <c r="D3" t="s" s="40">
        <v>70</v>
      </c>
      <c r="E3" t="s" s="40">
        <v>74</v>
      </c>
      <c r="F3" t="s" s="17">
        <v>75</v>
      </c>
      <c r="G3" s="41">
        <v>2</v>
      </c>
      <c r="H3" s="41">
        <v>3</v>
      </c>
      <c r="I3" s="42" cm="1">
        <f t="array" ref="I3">IF(AND(ISNUMBER(G3),ISNUMBER(H3)),H3-G3,"")</f>
        <v>1</v>
      </c>
      <c r="J3" t="s" s="43">
        <v>76</v>
      </c>
      <c r="K3" s="42"/>
      <c r="L3" s="44"/>
    </row>
    <row r="4" ht="36" customHeight="1">
      <c r="A4" t="s" s="40">
        <v>67</v>
      </c>
      <c r="B4" t="s" s="40">
        <v>68</v>
      </c>
      <c r="C4" t="s" s="31">
        <v>69</v>
      </c>
      <c r="D4" t="s" s="40">
        <v>70</v>
      </c>
      <c r="E4" t="s" s="40">
        <v>77</v>
      </c>
      <c r="F4" t="s" s="17">
        <v>78</v>
      </c>
      <c r="G4" s="41">
        <v>3</v>
      </c>
      <c r="H4" s="41">
        <v>3</v>
      </c>
      <c r="I4" s="42" cm="1">
        <f t="array" ref="I4">IF(AND(ISNUMBER(G4),ISNUMBER(H4)),H4-G4,"")</f>
        <v>0</v>
      </c>
      <c r="J4" t="s" s="43">
        <v>79</v>
      </c>
      <c r="K4" s="42"/>
      <c r="L4" s="44"/>
    </row>
    <row r="5" ht="36" customHeight="1">
      <c r="A5" t="s" s="40">
        <v>67</v>
      </c>
      <c r="B5" t="s" s="40">
        <v>68</v>
      </c>
      <c r="C5" t="s" s="31">
        <v>69</v>
      </c>
      <c r="D5" t="s" s="40">
        <v>70</v>
      </c>
      <c r="E5" t="s" s="40">
        <v>80</v>
      </c>
      <c r="F5" t="s" s="17">
        <v>81</v>
      </c>
      <c r="G5" s="41">
        <v>3</v>
      </c>
      <c r="H5" s="41">
        <v>3</v>
      </c>
      <c r="I5" s="42" cm="1">
        <f t="array" ref="I5">IF(AND(ISNUMBER(G5),ISNUMBER(H5)),H5-G5,"")</f>
        <v>0</v>
      </c>
      <c r="J5" t="s" s="43">
        <v>82</v>
      </c>
      <c r="K5" s="42"/>
      <c r="L5" s="44"/>
    </row>
    <row r="6" ht="36" customHeight="1">
      <c r="A6" t="s" s="40">
        <v>67</v>
      </c>
      <c r="B6" t="s" s="40">
        <v>68</v>
      </c>
      <c r="C6" t="s" s="31">
        <v>69</v>
      </c>
      <c r="D6" t="s" s="40">
        <v>70</v>
      </c>
      <c r="E6" t="s" s="40">
        <v>83</v>
      </c>
      <c r="F6" t="s" s="17">
        <v>84</v>
      </c>
      <c r="G6" s="41">
        <v>2</v>
      </c>
      <c r="H6" s="41">
        <v>3</v>
      </c>
      <c r="I6" s="42" cm="1">
        <f t="array" ref="I6">IF(AND(ISNUMBER(G6),ISNUMBER(H6)),H6-G6,"")</f>
        <v>1</v>
      </c>
      <c r="J6" t="s" s="45">
        <v>85</v>
      </c>
      <c r="K6" s="42"/>
      <c r="L6" s="44"/>
    </row>
    <row r="7" ht="36" customHeight="1">
      <c r="A7" t="s" s="40">
        <v>67</v>
      </c>
      <c r="B7" t="s" s="40">
        <v>68</v>
      </c>
      <c r="C7" t="s" s="31">
        <v>86</v>
      </c>
      <c r="D7" t="s" s="40">
        <v>87</v>
      </c>
      <c r="E7" t="s" s="40">
        <v>88</v>
      </c>
      <c r="F7" t="s" s="17">
        <v>89</v>
      </c>
      <c r="G7" s="41">
        <v>2</v>
      </c>
      <c r="H7" s="41">
        <v>3</v>
      </c>
      <c r="I7" s="42" cm="1">
        <f t="array" ref="I7">IF(AND(ISNUMBER(G7),ISNUMBER(H7)),H7-G7,"")</f>
        <v>1</v>
      </c>
      <c r="J7" t="s" s="43">
        <v>90</v>
      </c>
      <c r="K7" s="42"/>
      <c r="L7" s="44"/>
    </row>
    <row r="8" ht="36" customHeight="1">
      <c r="A8" t="s" s="40">
        <v>67</v>
      </c>
      <c r="B8" t="s" s="40">
        <v>68</v>
      </c>
      <c r="C8" t="s" s="31">
        <v>86</v>
      </c>
      <c r="D8" t="s" s="40">
        <v>87</v>
      </c>
      <c r="E8" t="s" s="40">
        <v>91</v>
      </c>
      <c r="F8" t="s" s="17">
        <v>92</v>
      </c>
      <c r="G8" s="41">
        <v>1</v>
      </c>
      <c r="H8" s="41">
        <v>3</v>
      </c>
      <c r="I8" s="42" cm="1">
        <f t="array" ref="I8">IF(AND(ISNUMBER(G8),ISNUMBER(H8)),H8-G8,"")</f>
        <v>2</v>
      </c>
      <c r="J8" t="s" s="43">
        <v>93</v>
      </c>
      <c r="K8" s="42"/>
      <c r="L8" s="44"/>
    </row>
    <row r="9" ht="36" customHeight="1">
      <c r="A9" t="s" s="40">
        <v>67</v>
      </c>
      <c r="B9" t="s" s="40">
        <v>68</v>
      </c>
      <c r="C9" t="s" s="31">
        <v>86</v>
      </c>
      <c r="D9" t="s" s="40">
        <v>87</v>
      </c>
      <c r="E9" t="s" s="40">
        <v>94</v>
      </c>
      <c r="F9" t="s" s="17">
        <v>95</v>
      </c>
      <c r="G9" s="41">
        <v>1</v>
      </c>
      <c r="H9" s="41">
        <v>3</v>
      </c>
      <c r="I9" s="42" cm="1">
        <f t="array" ref="I9">IF(AND(ISNUMBER(G9),ISNUMBER(H9)),H9-G9,"")</f>
        <v>2</v>
      </c>
      <c r="J9" t="s" s="43">
        <v>96</v>
      </c>
      <c r="K9" s="42"/>
      <c r="L9" s="44"/>
    </row>
    <row r="10" ht="36" customHeight="1">
      <c r="A10" t="s" s="40">
        <v>67</v>
      </c>
      <c r="B10" t="s" s="40">
        <v>68</v>
      </c>
      <c r="C10" t="s" s="31">
        <v>86</v>
      </c>
      <c r="D10" t="s" s="40">
        <v>87</v>
      </c>
      <c r="E10" t="s" s="40">
        <v>97</v>
      </c>
      <c r="F10" t="s" s="17">
        <v>98</v>
      </c>
      <c r="G10" s="41">
        <v>1</v>
      </c>
      <c r="H10" s="41">
        <v>3</v>
      </c>
      <c r="I10" s="42" cm="1">
        <f t="array" ref="I10">IF(AND(ISNUMBER(G10),ISNUMBER(H10)),H10-G10,"")</f>
        <v>2</v>
      </c>
      <c r="J10" t="s" s="43">
        <v>99</v>
      </c>
      <c r="K10" s="42"/>
      <c r="L10" s="44"/>
    </row>
    <row r="11" ht="36" customHeight="1">
      <c r="A11" t="s" s="40">
        <v>67</v>
      </c>
      <c r="B11" t="s" s="40">
        <v>68</v>
      </c>
      <c r="C11" t="s" s="31">
        <v>86</v>
      </c>
      <c r="D11" t="s" s="40">
        <v>87</v>
      </c>
      <c r="E11" t="s" s="40">
        <v>100</v>
      </c>
      <c r="F11" t="s" s="17">
        <v>101</v>
      </c>
      <c r="G11" s="41">
        <v>2</v>
      </c>
      <c r="H11" s="41">
        <v>3</v>
      </c>
      <c r="I11" s="42" cm="1">
        <f t="array" ref="I11">IF(AND(ISNUMBER(G11),ISNUMBER(H11)),H11-G11,"")</f>
        <v>1</v>
      </c>
      <c r="J11" t="s" s="43">
        <v>102</v>
      </c>
      <c r="K11" s="42"/>
      <c r="L11" s="44"/>
    </row>
    <row r="12" ht="36" customHeight="1">
      <c r="A12" t="s" s="40">
        <v>67</v>
      </c>
      <c r="B12" t="s" s="40">
        <v>68</v>
      </c>
      <c r="C12" t="s" s="31">
        <v>86</v>
      </c>
      <c r="D12" t="s" s="40">
        <v>87</v>
      </c>
      <c r="E12" t="s" s="40">
        <v>103</v>
      </c>
      <c r="F12" t="s" s="17">
        <v>104</v>
      </c>
      <c r="G12" s="41">
        <v>1</v>
      </c>
      <c r="H12" s="41">
        <v>3</v>
      </c>
      <c r="I12" s="42" cm="1">
        <f t="array" ref="I12">IF(AND(ISNUMBER(G12),ISNUMBER(H12)),H12-G12,"")</f>
        <v>2</v>
      </c>
      <c r="J12" t="s" s="43">
        <v>105</v>
      </c>
      <c r="K12" s="42"/>
      <c r="L12" s="44"/>
    </row>
    <row r="13" ht="36" customHeight="1">
      <c r="A13" t="s" s="40">
        <v>67</v>
      </c>
      <c r="B13" t="s" s="40">
        <v>68</v>
      </c>
      <c r="C13" t="s" s="31">
        <v>86</v>
      </c>
      <c r="D13" t="s" s="40">
        <v>87</v>
      </c>
      <c r="E13" t="s" s="40">
        <v>106</v>
      </c>
      <c r="F13" t="s" s="17">
        <v>107</v>
      </c>
      <c r="G13" s="41">
        <v>1</v>
      </c>
      <c r="H13" s="41">
        <v>2</v>
      </c>
      <c r="I13" s="42" cm="1">
        <f t="array" ref="I13">IF(AND(ISNUMBER(G13),ISNUMBER(H13)),H13-G13,"")</f>
        <v>1</v>
      </c>
      <c r="J13" t="s" s="43">
        <v>108</v>
      </c>
      <c r="K13" s="42"/>
      <c r="L13" s="44"/>
    </row>
    <row r="14" ht="36" customHeight="1">
      <c r="A14" t="s" s="40">
        <v>67</v>
      </c>
      <c r="B14" t="s" s="40">
        <v>68</v>
      </c>
      <c r="C14" t="s" s="31">
        <v>109</v>
      </c>
      <c r="D14" t="s" s="40">
        <v>110</v>
      </c>
      <c r="E14" t="s" s="40">
        <v>111</v>
      </c>
      <c r="F14" t="s" s="17">
        <v>112</v>
      </c>
      <c r="G14" s="41">
        <v>2</v>
      </c>
      <c r="H14" s="41">
        <v>3</v>
      </c>
      <c r="I14" s="42" cm="1">
        <f t="array" ref="I14">IF(AND(ISNUMBER(G14),ISNUMBER(H14)),H14-G14,"")</f>
        <v>1</v>
      </c>
      <c r="J14" t="s" s="43">
        <v>113</v>
      </c>
      <c r="K14" s="42"/>
      <c r="L14" s="44"/>
    </row>
    <row r="15" ht="36" customHeight="1">
      <c r="A15" t="s" s="40">
        <v>67</v>
      </c>
      <c r="B15" t="s" s="40">
        <v>68</v>
      </c>
      <c r="C15" t="s" s="31">
        <v>109</v>
      </c>
      <c r="D15" t="s" s="40">
        <v>110</v>
      </c>
      <c r="E15" t="s" s="40">
        <v>114</v>
      </c>
      <c r="F15" t="s" s="17">
        <v>115</v>
      </c>
      <c r="G15" s="41">
        <v>2</v>
      </c>
      <c r="H15" s="41">
        <v>3</v>
      </c>
      <c r="I15" s="42" cm="1">
        <f t="array" ref="I15">IF(AND(ISNUMBER(G15),ISNUMBER(H15)),H15-G15,"")</f>
        <v>1</v>
      </c>
      <c r="J15" t="s" s="43">
        <v>116</v>
      </c>
      <c r="K15" s="42"/>
      <c r="L15" s="44"/>
    </row>
    <row r="16" ht="36" customHeight="1">
      <c r="A16" t="s" s="40">
        <v>67</v>
      </c>
      <c r="B16" t="s" s="40">
        <v>68</v>
      </c>
      <c r="C16" t="s" s="31">
        <v>109</v>
      </c>
      <c r="D16" t="s" s="40">
        <v>110</v>
      </c>
      <c r="E16" t="s" s="40">
        <v>117</v>
      </c>
      <c r="F16" t="s" s="17">
        <v>118</v>
      </c>
      <c r="G16" s="41">
        <v>2</v>
      </c>
      <c r="H16" s="41">
        <v>3</v>
      </c>
      <c r="I16" s="42" cm="1">
        <f t="array" ref="I16">IF(AND(ISNUMBER(G16),ISNUMBER(H16)),H16-G16,"")</f>
        <v>1</v>
      </c>
      <c r="J16" t="s" s="43">
        <v>119</v>
      </c>
      <c r="K16" s="42"/>
      <c r="L16" s="44"/>
    </row>
    <row r="17" ht="36" customHeight="1">
      <c r="A17" t="s" s="40">
        <v>67</v>
      </c>
      <c r="B17" t="s" s="40">
        <v>68</v>
      </c>
      <c r="C17" t="s" s="31">
        <v>109</v>
      </c>
      <c r="D17" t="s" s="40">
        <v>110</v>
      </c>
      <c r="E17" t="s" s="40">
        <v>120</v>
      </c>
      <c r="F17" t="s" s="17">
        <v>121</v>
      </c>
      <c r="G17" s="41">
        <v>2</v>
      </c>
      <c r="H17" s="41">
        <v>3</v>
      </c>
      <c r="I17" s="42" cm="1">
        <f t="array" ref="I17">IF(AND(ISNUMBER(G17),ISNUMBER(H17)),H17-G17,"")</f>
        <v>1</v>
      </c>
      <c r="J17" t="s" s="43">
        <v>122</v>
      </c>
      <c r="K17" s="42"/>
      <c r="L17" s="44"/>
    </row>
    <row r="18" ht="36" customHeight="1">
      <c r="A18" t="s" s="40">
        <v>67</v>
      </c>
      <c r="B18" t="s" s="40">
        <v>68</v>
      </c>
      <c r="C18" t="s" s="31">
        <v>123</v>
      </c>
      <c r="D18" t="s" s="40">
        <v>124</v>
      </c>
      <c r="E18" t="s" s="40">
        <v>125</v>
      </c>
      <c r="F18" t="s" s="17">
        <v>126</v>
      </c>
      <c r="G18" s="41">
        <v>2</v>
      </c>
      <c r="H18" s="41">
        <v>3</v>
      </c>
      <c r="I18" s="42" cm="1">
        <f t="array" ref="I18">IF(AND(ISNUMBER(G18),ISNUMBER(H18)),H18-G18,"")</f>
        <v>1</v>
      </c>
      <c r="J18" t="s" s="43">
        <v>127</v>
      </c>
      <c r="K18" s="42"/>
      <c r="L18" s="44"/>
    </row>
    <row r="19" ht="36" customHeight="1">
      <c r="A19" t="s" s="40">
        <v>67</v>
      </c>
      <c r="B19" t="s" s="40">
        <v>68</v>
      </c>
      <c r="C19" t="s" s="31">
        <v>123</v>
      </c>
      <c r="D19" t="s" s="40">
        <v>124</v>
      </c>
      <c r="E19" t="s" s="40">
        <v>128</v>
      </c>
      <c r="F19" t="s" s="17">
        <v>129</v>
      </c>
      <c r="G19" s="41">
        <v>1</v>
      </c>
      <c r="H19" s="41">
        <v>3</v>
      </c>
      <c r="I19" s="42" cm="1">
        <f t="array" ref="I19">IF(AND(ISNUMBER(G19),ISNUMBER(H19)),H19-G19,"")</f>
        <v>2</v>
      </c>
      <c r="J19" t="s" s="43">
        <v>130</v>
      </c>
      <c r="K19" s="42"/>
      <c r="L19" s="44"/>
    </row>
    <row r="20" ht="36" customHeight="1">
      <c r="A20" t="s" s="40">
        <v>67</v>
      </c>
      <c r="B20" t="s" s="40">
        <v>68</v>
      </c>
      <c r="C20" t="s" s="31">
        <v>131</v>
      </c>
      <c r="D20" t="s" s="40">
        <v>132</v>
      </c>
      <c r="E20" t="s" s="40">
        <v>133</v>
      </c>
      <c r="F20" t="s" s="17">
        <v>134</v>
      </c>
      <c r="G20" s="41">
        <v>2</v>
      </c>
      <c r="H20" s="41">
        <v>3</v>
      </c>
      <c r="I20" s="42" cm="1">
        <f t="array" ref="I20">IF(AND(ISNUMBER(G20),ISNUMBER(H20)),H20-G20,"")</f>
        <v>1</v>
      </c>
      <c r="J20" t="s" s="43">
        <v>135</v>
      </c>
      <c r="K20" s="42"/>
      <c r="L20" s="44"/>
    </row>
    <row r="21" ht="36" customHeight="1">
      <c r="A21" t="s" s="40">
        <v>67</v>
      </c>
      <c r="B21" t="s" s="40">
        <v>68</v>
      </c>
      <c r="C21" t="s" s="31">
        <v>131</v>
      </c>
      <c r="D21" t="s" s="40">
        <v>132</v>
      </c>
      <c r="E21" t="s" s="40">
        <v>136</v>
      </c>
      <c r="F21" t="s" s="17">
        <v>137</v>
      </c>
      <c r="G21" s="44"/>
      <c r="H21" s="44"/>
      <c r="I21" t="str" s="44" cm="1">
        <f t="array" ref="I21">IF(AND(ISNUMBER(G21),ISNUMBER(H21)),H21-G21,"")</f>
      </c>
      <c r="J21" s="46"/>
      <c r="K21" s="42"/>
      <c r="L21" s="44"/>
    </row>
    <row r="22" ht="36" customHeight="1">
      <c r="A22" t="s" s="40">
        <v>67</v>
      </c>
      <c r="B22" t="s" s="40">
        <v>68</v>
      </c>
      <c r="C22" t="s" s="31">
        <v>131</v>
      </c>
      <c r="D22" t="s" s="40">
        <v>132</v>
      </c>
      <c r="E22" t="s" s="40">
        <v>138</v>
      </c>
      <c r="F22" t="s" s="17">
        <v>139</v>
      </c>
      <c r="G22" s="44"/>
      <c r="H22" s="44"/>
      <c r="I22" t="str" s="44" cm="1">
        <f t="array" ref="I22">IF(AND(ISNUMBER(G22),ISNUMBER(H22)),H22-G22,"")</f>
      </c>
      <c r="J22" s="46"/>
      <c r="K22" s="42"/>
      <c r="L22" s="44"/>
    </row>
    <row r="23" ht="36" customHeight="1">
      <c r="A23" t="s" s="40">
        <v>67</v>
      </c>
      <c r="B23" t="s" s="40">
        <v>68</v>
      </c>
      <c r="C23" t="s" s="31">
        <v>140</v>
      </c>
      <c r="D23" t="s" s="40">
        <v>141</v>
      </c>
      <c r="E23" t="s" s="40">
        <v>142</v>
      </c>
      <c r="F23" t="s" s="17">
        <v>143</v>
      </c>
      <c r="G23" s="44"/>
      <c r="H23" s="44"/>
      <c r="I23" t="str" s="44" cm="1">
        <f t="array" ref="I23">IF(AND(ISNUMBER(G23),ISNUMBER(H23)),H23-G23,"")</f>
      </c>
      <c r="J23" s="46"/>
      <c r="K23" s="42"/>
      <c r="L23" s="44"/>
    </row>
    <row r="24" ht="36" customHeight="1">
      <c r="A24" t="s" s="40">
        <v>67</v>
      </c>
      <c r="B24" t="s" s="40">
        <v>68</v>
      </c>
      <c r="C24" t="s" s="31">
        <v>140</v>
      </c>
      <c r="D24" t="s" s="40">
        <v>141</v>
      </c>
      <c r="E24" t="s" s="40">
        <v>144</v>
      </c>
      <c r="F24" t="s" s="17">
        <v>145</v>
      </c>
      <c r="G24" s="44"/>
      <c r="H24" s="44"/>
      <c r="I24" t="str" s="44" cm="1">
        <f t="array" ref="I24">IF(AND(ISNUMBER(G24),ISNUMBER(H24)),H24-G24,"")</f>
      </c>
      <c r="J24" s="46"/>
      <c r="K24" s="42"/>
      <c r="L24" s="44"/>
    </row>
    <row r="25" ht="36" customHeight="1">
      <c r="A25" t="s" s="40">
        <v>67</v>
      </c>
      <c r="B25" t="s" s="40">
        <v>68</v>
      </c>
      <c r="C25" t="s" s="31">
        <v>140</v>
      </c>
      <c r="D25" t="s" s="40">
        <v>141</v>
      </c>
      <c r="E25" t="s" s="40">
        <v>146</v>
      </c>
      <c r="F25" t="s" s="17">
        <v>147</v>
      </c>
      <c r="G25" s="44"/>
      <c r="H25" s="44"/>
      <c r="I25" t="str" s="44" cm="1">
        <f t="array" ref="I25">IF(AND(ISNUMBER(G25),ISNUMBER(H25)),H25-G25,"")</f>
      </c>
      <c r="J25" s="46"/>
      <c r="K25" s="42"/>
      <c r="L25" s="44"/>
    </row>
    <row r="26" ht="36" customHeight="1">
      <c r="A26" t="s" s="40">
        <v>67</v>
      </c>
      <c r="B26" t="s" s="40">
        <v>68</v>
      </c>
      <c r="C26" t="s" s="31">
        <v>140</v>
      </c>
      <c r="D26" t="s" s="40">
        <v>141</v>
      </c>
      <c r="E26" t="s" s="40">
        <v>148</v>
      </c>
      <c r="F26" t="s" s="17">
        <v>149</v>
      </c>
      <c r="G26" s="44"/>
      <c r="H26" s="44"/>
      <c r="I26" t="str" s="44" cm="1">
        <f t="array" ref="I26">IF(AND(ISNUMBER(G26),ISNUMBER(H26)),H26-G26,"")</f>
      </c>
      <c r="J26" s="46"/>
      <c r="K26" s="42"/>
      <c r="L26" s="44"/>
    </row>
    <row r="27" ht="36" customHeight="1">
      <c r="A27" t="s" s="40">
        <v>67</v>
      </c>
      <c r="B27" t="s" s="40">
        <v>68</v>
      </c>
      <c r="C27" t="s" s="31">
        <v>140</v>
      </c>
      <c r="D27" t="s" s="40">
        <v>141</v>
      </c>
      <c r="E27" t="s" s="40">
        <v>150</v>
      </c>
      <c r="F27" t="s" s="17">
        <v>151</v>
      </c>
      <c r="G27" s="44"/>
      <c r="H27" s="44"/>
      <c r="I27" t="str" s="44" cm="1">
        <f t="array" ref="I27">IF(AND(ISNUMBER(G27),ISNUMBER(H27)),H27-G27,"")</f>
      </c>
      <c r="J27" s="46"/>
      <c r="K27" s="42"/>
      <c r="L27" s="44"/>
    </row>
    <row r="28" ht="36" customHeight="1">
      <c r="A28" t="s" s="40">
        <v>67</v>
      </c>
      <c r="B28" t="s" s="40">
        <v>68</v>
      </c>
      <c r="C28" t="s" s="31">
        <v>140</v>
      </c>
      <c r="D28" t="s" s="40">
        <v>141</v>
      </c>
      <c r="E28" t="s" s="40">
        <v>152</v>
      </c>
      <c r="F28" t="s" s="17">
        <v>153</v>
      </c>
      <c r="G28" s="44"/>
      <c r="H28" s="44"/>
      <c r="I28" t="str" s="44" cm="1">
        <f t="array" ref="I28">IF(AND(ISNUMBER(G28),ISNUMBER(H28)),H28-G28,"")</f>
      </c>
      <c r="J28" s="46"/>
      <c r="K28" s="42"/>
      <c r="L28" s="44"/>
    </row>
    <row r="29" ht="36" customHeight="1">
      <c r="A29" t="s" s="40">
        <v>67</v>
      </c>
      <c r="B29" t="s" s="40">
        <v>68</v>
      </c>
      <c r="C29" t="s" s="31">
        <v>140</v>
      </c>
      <c r="D29" t="s" s="40">
        <v>141</v>
      </c>
      <c r="E29" t="s" s="40">
        <v>154</v>
      </c>
      <c r="F29" t="s" s="17">
        <v>155</v>
      </c>
      <c r="G29" s="44"/>
      <c r="H29" s="44"/>
      <c r="I29" t="str" s="44" cm="1">
        <f t="array" ref="I29">IF(AND(ISNUMBER(G29),ISNUMBER(H29)),H29-G29,"")</f>
      </c>
      <c r="J29" s="46"/>
      <c r="K29" s="42"/>
      <c r="L29" s="44"/>
    </row>
    <row r="30" ht="36" customHeight="1">
      <c r="A30" t="s" s="40">
        <v>67</v>
      </c>
      <c r="B30" t="s" s="40">
        <v>68</v>
      </c>
      <c r="C30" t="s" s="31">
        <v>140</v>
      </c>
      <c r="D30" t="s" s="40">
        <v>141</v>
      </c>
      <c r="E30" t="s" s="40">
        <v>156</v>
      </c>
      <c r="F30" t="s" s="17">
        <v>157</v>
      </c>
      <c r="G30" s="44"/>
      <c r="H30" s="44"/>
      <c r="I30" t="str" s="44" cm="1">
        <f t="array" ref="I30">IF(AND(ISNUMBER(G30),ISNUMBER(H30)),H30-G30,"")</f>
      </c>
      <c r="J30" s="46"/>
      <c r="K30" s="42"/>
      <c r="L30" s="44"/>
    </row>
    <row r="31" ht="36" customHeight="1">
      <c r="A31" t="s" s="40">
        <v>67</v>
      </c>
      <c r="B31" t="s" s="40">
        <v>68</v>
      </c>
      <c r="C31" t="s" s="31">
        <v>140</v>
      </c>
      <c r="D31" t="s" s="40">
        <v>141</v>
      </c>
      <c r="E31" t="s" s="40">
        <v>158</v>
      </c>
      <c r="F31" t="s" s="17">
        <v>159</v>
      </c>
      <c r="G31" s="44"/>
      <c r="H31" s="44"/>
      <c r="I31" t="str" s="44" cm="1">
        <f t="array" ref="I31">IF(AND(ISNUMBER(G31),ISNUMBER(H31)),H31-G31,"")</f>
      </c>
      <c r="J31" s="46"/>
      <c r="K31" s="42"/>
      <c r="L31" s="44"/>
    </row>
    <row r="32" ht="36" customHeight="1">
      <c r="A32" t="s" s="40">
        <v>67</v>
      </c>
      <c r="B32" t="s" s="40">
        <v>68</v>
      </c>
      <c r="C32" t="s" s="31">
        <v>140</v>
      </c>
      <c r="D32" t="s" s="40">
        <v>141</v>
      </c>
      <c r="E32" t="s" s="40">
        <v>160</v>
      </c>
      <c r="F32" t="s" s="17">
        <v>161</v>
      </c>
      <c r="G32" s="44"/>
      <c r="H32" s="44"/>
      <c r="I32" t="str" s="44" cm="1">
        <f t="array" ref="I32">IF(AND(ISNUMBER(G32),ISNUMBER(H32)),H32-G32,"")</f>
      </c>
      <c r="J32" s="46"/>
      <c r="K32" s="42"/>
      <c r="L32" s="44"/>
    </row>
    <row r="33" ht="36" customHeight="1">
      <c r="A33" t="s" s="47">
        <v>162</v>
      </c>
      <c r="B33" t="s" s="47">
        <v>163</v>
      </c>
      <c r="C33" t="s" s="34">
        <v>164</v>
      </c>
      <c r="D33" t="s" s="47">
        <v>165</v>
      </c>
      <c r="E33" t="s" s="47">
        <v>166</v>
      </c>
      <c r="F33" t="s" s="17">
        <v>167</v>
      </c>
      <c r="G33" s="44"/>
      <c r="H33" s="44"/>
      <c r="I33" t="str" s="44" cm="1">
        <f t="array" ref="I33">IF(AND(ISNUMBER(G33),ISNUMBER(H33)),H33-G33,"")</f>
      </c>
      <c r="J33" s="46"/>
      <c r="K33" s="42"/>
      <c r="L33" s="44"/>
    </row>
    <row r="34" ht="36" customHeight="1">
      <c r="A34" t="s" s="47">
        <v>162</v>
      </c>
      <c r="B34" t="s" s="47">
        <v>163</v>
      </c>
      <c r="C34" t="s" s="34">
        <v>164</v>
      </c>
      <c r="D34" t="s" s="47">
        <v>165</v>
      </c>
      <c r="E34" t="s" s="47">
        <v>168</v>
      </c>
      <c r="F34" t="s" s="17">
        <v>169</v>
      </c>
      <c r="G34" s="44"/>
      <c r="H34" s="44"/>
      <c r="I34" t="str" s="44" cm="1">
        <f t="array" ref="I34">IF(AND(ISNUMBER(G34),ISNUMBER(H34)),H34-G34,"")</f>
      </c>
      <c r="J34" s="46"/>
      <c r="K34" s="42"/>
      <c r="L34" s="44"/>
    </row>
    <row r="35" ht="36" customHeight="1">
      <c r="A35" t="s" s="47">
        <v>162</v>
      </c>
      <c r="B35" t="s" s="47">
        <v>163</v>
      </c>
      <c r="C35" t="s" s="34">
        <v>164</v>
      </c>
      <c r="D35" t="s" s="47">
        <v>165</v>
      </c>
      <c r="E35" t="s" s="47">
        <v>170</v>
      </c>
      <c r="F35" t="s" s="17">
        <v>171</v>
      </c>
      <c r="G35" s="44"/>
      <c r="H35" s="44"/>
      <c r="I35" t="str" s="44" cm="1">
        <f t="array" ref="I35">IF(AND(ISNUMBER(G35),ISNUMBER(H35)),H35-G35,"")</f>
      </c>
      <c r="J35" s="46"/>
      <c r="K35" s="42"/>
      <c r="L35" s="44"/>
    </row>
    <row r="36" ht="36" customHeight="1">
      <c r="A36" t="s" s="47">
        <v>162</v>
      </c>
      <c r="B36" t="s" s="47">
        <v>163</v>
      </c>
      <c r="C36" t="s" s="34">
        <v>164</v>
      </c>
      <c r="D36" t="s" s="47">
        <v>165</v>
      </c>
      <c r="E36" t="s" s="47">
        <v>172</v>
      </c>
      <c r="F36" t="s" s="17">
        <v>173</v>
      </c>
      <c r="G36" s="44"/>
      <c r="H36" s="44"/>
      <c r="I36" t="str" s="44" cm="1">
        <f t="array" ref="I36">IF(AND(ISNUMBER(G36),ISNUMBER(H36)),H36-G36,"")</f>
      </c>
      <c r="J36" s="46"/>
      <c r="K36" s="42"/>
      <c r="L36" s="44"/>
    </row>
    <row r="37" ht="36" customHeight="1">
      <c r="A37" t="s" s="47">
        <v>162</v>
      </c>
      <c r="B37" t="s" s="47">
        <v>163</v>
      </c>
      <c r="C37" t="s" s="34">
        <v>164</v>
      </c>
      <c r="D37" t="s" s="47">
        <v>165</v>
      </c>
      <c r="E37" t="s" s="47">
        <v>174</v>
      </c>
      <c r="F37" t="s" s="17">
        <v>175</v>
      </c>
      <c r="G37" s="44"/>
      <c r="H37" s="44"/>
      <c r="I37" t="str" s="44" cm="1">
        <f t="array" ref="I37">IF(AND(ISNUMBER(G37),ISNUMBER(H37)),H37-G37,"")</f>
      </c>
      <c r="J37" s="46"/>
      <c r="K37" s="42"/>
      <c r="L37" s="44"/>
    </row>
    <row r="38" ht="36" customHeight="1">
      <c r="A38" t="s" s="47">
        <v>162</v>
      </c>
      <c r="B38" t="s" s="47">
        <v>163</v>
      </c>
      <c r="C38" t="s" s="34">
        <v>164</v>
      </c>
      <c r="D38" t="s" s="47">
        <v>165</v>
      </c>
      <c r="E38" t="s" s="47">
        <v>176</v>
      </c>
      <c r="F38" t="s" s="17">
        <v>177</v>
      </c>
      <c r="G38" s="44"/>
      <c r="H38" s="44"/>
      <c r="I38" t="str" s="44" cm="1">
        <f t="array" ref="I38">IF(AND(ISNUMBER(G38),ISNUMBER(H38)),H38-G38,"")</f>
      </c>
      <c r="J38" s="46"/>
      <c r="K38" s="42"/>
      <c r="L38" s="44"/>
    </row>
    <row r="39" ht="36" customHeight="1">
      <c r="A39" t="s" s="47">
        <v>162</v>
      </c>
      <c r="B39" t="s" s="47">
        <v>163</v>
      </c>
      <c r="C39" t="s" s="34">
        <v>164</v>
      </c>
      <c r="D39" t="s" s="47">
        <v>165</v>
      </c>
      <c r="E39" t="s" s="47">
        <v>178</v>
      </c>
      <c r="F39" t="s" s="17">
        <v>179</v>
      </c>
      <c r="G39" s="44"/>
      <c r="H39" s="44"/>
      <c r="I39" t="str" s="44" cm="1">
        <f t="array" ref="I39">IF(AND(ISNUMBER(G39),ISNUMBER(H39)),H39-G39,"")</f>
      </c>
      <c r="J39" s="46"/>
      <c r="K39" s="42"/>
      <c r="L39" s="44"/>
    </row>
    <row r="40" ht="36" customHeight="1">
      <c r="A40" t="s" s="47">
        <v>162</v>
      </c>
      <c r="B40" t="s" s="47">
        <v>163</v>
      </c>
      <c r="C40" t="s" s="34">
        <v>180</v>
      </c>
      <c r="D40" t="s" s="47">
        <v>181</v>
      </c>
      <c r="E40" t="s" s="47">
        <v>182</v>
      </c>
      <c r="F40" t="s" s="17">
        <v>183</v>
      </c>
      <c r="G40" s="44"/>
      <c r="H40" s="44"/>
      <c r="I40" t="str" s="44" cm="1">
        <f t="array" ref="I40">IF(AND(ISNUMBER(G40),ISNUMBER(H40)),H40-G40,"")</f>
      </c>
      <c r="J40" s="46"/>
      <c r="K40" s="42"/>
      <c r="L40" s="44"/>
    </row>
    <row r="41" ht="36" customHeight="1">
      <c r="A41" t="s" s="47">
        <v>162</v>
      </c>
      <c r="B41" t="s" s="47">
        <v>163</v>
      </c>
      <c r="C41" t="s" s="34">
        <v>180</v>
      </c>
      <c r="D41" t="s" s="47">
        <v>181</v>
      </c>
      <c r="E41" t="s" s="47">
        <v>184</v>
      </c>
      <c r="F41" t="s" s="17">
        <v>185</v>
      </c>
      <c r="G41" s="44"/>
      <c r="H41" s="44"/>
      <c r="I41" t="str" s="44" cm="1">
        <f t="array" ref="I41">IF(AND(ISNUMBER(G41),ISNUMBER(H41)),H41-G41,"")</f>
      </c>
      <c r="J41" s="46"/>
      <c r="K41" s="42"/>
      <c r="L41" s="44"/>
    </row>
    <row r="42" ht="36" customHeight="1">
      <c r="A42" t="s" s="47">
        <v>162</v>
      </c>
      <c r="B42" t="s" s="47">
        <v>163</v>
      </c>
      <c r="C42" t="s" s="34">
        <v>180</v>
      </c>
      <c r="D42" t="s" s="47">
        <v>181</v>
      </c>
      <c r="E42" t="s" s="47">
        <v>186</v>
      </c>
      <c r="F42" t="s" s="17">
        <v>187</v>
      </c>
      <c r="G42" s="44"/>
      <c r="H42" s="44"/>
      <c r="I42" t="str" s="44" cm="1">
        <f t="array" ref="I42">IF(AND(ISNUMBER(G42),ISNUMBER(H42)),H42-G42,"")</f>
      </c>
      <c r="J42" s="46"/>
      <c r="K42" s="42"/>
      <c r="L42" s="44"/>
    </row>
    <row r="43" ht="36" customHeight="1">
      <c r="A43" t="s" s="47">
        <v>162</v>
      </c>
      <c r="B43" t="s" s="47">
        <v>163</v>
      </c>
      <c r="C43" t="s" s="34">
        <v>180</v>
      </c>
      <c r="D43" t="s" s="47">
        <v>181</v>
      </c>
      <c r="E43" t="s" s="47">
        <v>188</v>
      </c>
      <c r="F43" t="s" s="17">
        <v>189</v>
      </c>
      <c r="G43" s="44"/>
      <c r="H43" s="44"/>
      <c r="I43" t="str" s="44" cm="1">
        <f t="array" ref="I43">IF(AND(ISNUMBER(G43),ISNUMBER(H43)),H43-G43,"")</f>
      </c>
      <c r="J43" s="46"/>
      <c r="K43" s="42"/>
      <c r="L43" s="44"/>
    </row>
    <row r="44" ht="36" customHeight="1">
      <c r="A44" t="s" s="47">
        <v>162</v>
      </c>
      <c r="B44" t="s" s="47">
        <v>163</v>
      </c>
      <c r="C44" t="s" s="34">
        <v>180</v>
      </c>
      <c r="D44" t="s" s="47">
        <v>181</v>
      </c>
      <c r="E44" t="s" s="47">
        <v>190</v>
      </c>
      <c r="F44" t="s" s="17">
        <v>191</v>
      </c>
      <c r="G44" s="44"/>
      <c r="H44" s="44"/>
      <c r="I44" t="str" s="44" cm="1">
        <f t="array" ref="I44">IF(AND(ISNUMBER(G44),ISNUMBER(H44)),H44-G44,"")</f>
      </c>
      <c r="J44" s="46"/>
      <c r="K44" s="42"/>
      <c r="L44" s="44"/>
    </row>
    <row r="45" ht="36" customHeight="1">
      <c r="A45" t="s" s="47">
        <v>162</v>
      </c>
      <c r="B45" t="s" s="47">
        <v>163</v>
      </c>
      <c r="C45" t="s" s="34">
        <v>180</v>
      </c>
      <c r="D45" t="s" s="47">
        <v>181</v>
      </c>
      <c r="E45" t="s" s="47">
        <v>192</v>
      </c>
      <c r="F45" t="s" s="17">
        <v>193</v>
      </c>
      <c r="G45" s="44"/>
      <c r="H45" s="44"/>
      <c r="I45" t="str" s="44" cm="1">
        <f t="array" ref="I45">IF(AND(ISNUMBER(G45),ISNUMBER(H45)),H45-G45,"")</f>
      </c>
      <c r="J45" s="46"/>
      <c r="K45" s="42"/>
      <c r="L45" s="44"/>
    </row>
    <row r="46" ht="36" customHeight="1">
      <c r="A46" t="s" s="47">
        <v>162</v>
      </c>
      <c r="B46" t="s" s="47">
        <v>163</v>
      </c>
      <c r="C46" t="s" s="34">
        <v>180</v>
      </c>
      <c r="D46" t="s" s="47">
        <v>181</v>
      </c>
      <c r="E46" t="s" s="47">
        <v>194</v>
      </c>
      <c r="F46" t="s" s="17">
        <v>195</v>
      </c>
      <c r="G46" s="44"/>
      <c r="H46" s="44"/>
      <c r="I46" t="str" s="44" cm="1">
        <f t="array" ref="I46">IF(AND(ISNUMBER(G46),ISNUMBER(H46)),H46-G46,"")</f>
      </c>
      <c r="J46" s="46"/>
      <c r="K46" s="42"/>
      <c r="L46" s="44"/>
    </row>
    <row r="47" ht="36" customHeight="1">
      <c r="A47" t="s" s="47">
        <v>162</v>
      </c>
      <c r="B47" t="s" s="47">
        <v>163</v>
      </c>
      <c r="C47" t="s" s="34">
        <v>180</v>
      </c>
      <c r="D47" t="s" s="47">
        <v>181</v>
      </c>
      <c r="E47" t="s" s="47">
        <v>196</v>
      </c>
      <c r="F47" t="s" s="17">
        <v>197</v>
      </c>
      <c r="G47" s="44"/>
      <c r="H47" s="44"/>
      <c r="I47" t="str" s="44" cm="1">
        <f t="array" ref="I47">IF(AND(ISNUMBER(G47),ISNUMBER(H47)),H47-G47,"")</f>
      </c>
      <c r="J47" s="46"/>
      <c r="K47" s="42"/>
      <c r="L47" s="44"/>
    </row>
    <row r="48" ht="36" customHeight="1">
      <c r="A48" t="s" s="47">
        <v>162</v>
      </c>
      <c r="B48" t="s" s="47">
        <v>163</v>
      </c>
      <c r="C48" t="s" s="34">
        <v>180</v>
      </c>
      <c r="D48" t="s" s="47">
        <v>181</v>
      </c>
      <c r="E48" t="s" s="47">
        <v>198</v>
      </c>
      <c r="F48" t="s" s="17">
        <v>199</v>
      </c>
      <c r="G48" s="44"/>
      <c r="H48" s="44"/>
      <c r="I48" t="str" s="44" cm="1">
        <f t="array" ref="I48">IF(AND(ISNUMBER(G48),ISNUMBER(H48)),H48-G48,"")</f>
      </c>
      <c r="J48" s="46"/>
      <c r="K48" s="42"/>
      <c r="L48" s="44"/>
    </row>
    <row r="49" ht="36" customHeight="1">
      <c r="A49" t="s" s="47">
        <v>162</v>
      </c>
      <c r="B49" t="s" s="47">
        <v>163</v>
      </c>
      <c r="C49" t="s" s="34">
        <v>180</v>
      </c>
      <c r="D49" t="s" s="47">
        <v>181</v>
      </c>
      <c r="E49" t="s" s="47">
        <v>200</v>
      </c>
      <c r="F49" t="s" s="17">
        <v>201</v>
      </c>
      <c r="G49" s="44"/>
      <c r="H49" s="44"/>
      <c r="I49" t="str" s="44" cm="1">
        <f t="array" ref="I49">IF(AND(ISNUMBER(G49),ISNUMBER(H49)),H49-G49,"")</f>
      </c>
      <c r="J49" s="46"/>
      <c r="K49" s="42"/>
      <c r="L49" s="44"/>
    </row>
    <row r="50" ht="36" customHeight="1">
      <c r="A50" t="s" s="47">
        <v>162</v>
      </c>
      <c r="B50" t="s" s="47">
        <v>163</v>
      </c>
      <c r="C50" t="s" s="34">
        <v>202</v>
      </c>
      <c r="D50" t="s" s="47">
        <v>203</v>
      </c>
      <c r="E50" t="s" s="47">
        <v>204</v>
      </c>
      <c r="F50" t="s" s="17">
        <v>205</v>
      </c>
      <c r="G50" s="44"/>
      <c r="H50" s="44"/>
      <c r="I50" t="str" s="44" cm="1">
        <f t="array" ref="I50">IF(AND(ISNUMBER(G50),ISNUMBER(H50)),H50-G50,"")</f>
      </c>
      <c r="J50" s="46"/>
      <c r="K50" s="42"/>
      <c r="L50" s="44"/>
    </row>
    <row r="51" ht="36" customHeight="1">
      <c r="A51" t="s" s="47">
        <v>162</v>
      </c>
      <c r="B51" t="s" s="47">
        <v>163</v>
      </c>
      <c r="C51" t="s" s="34">
        <v>202</v>
      </c>
      <c r="D51" t="s" s="47">
        <v>203</v>
      </c>
      <c r="E51" t="s" s="47">
        <v>206</v>
      </c>
      <c r="F51" t="s" s="17">
        <v>207</v>
      </c>
      <c r="G51" s="44"/>
      <c r="H51" s="44"/>
      <c r="I51" t="str" s="44" cm="1">
        <f t="array" ref="I51">IF(AND(ISNUMBER(G51),ISNUMBER(H51)),H51-G51,"")</f>
      </c>
      <c r="J51" s="46"/>
      <c r="K51" s="42"/>
      <c r="L51" s="44"/>
    </row>
    <row r="52" ht="36" customHeight="1">
      <c r="A52" t="s" s="47">
        <v>162</v>
      </c>
      <c r="B52" t="s" s="47">
        <v>163</v>
      </c>
      <c r="C52" t="s" s="34">
        <v>202</v>
      </c>
      <c r="D52" t="s" s="47">
        <v>203</v>
      </c>
      <c r="E52" t="s" s="47">
        <v>208</v>
      </c>
      <c r="F52" t="s" s="17">
        <v>209</v>
      </c>
      <c r="G52" s="44"/>
      <c r="H52" s="44"/>
      <c r="I52" t="str" s="44" cm="1">
        <f t="array" ref="I52">IF(AND(ISNUMBER(G52),ISNUMBER(H52)),H52-G52,"")</f>
      </c>
      <c r="J52" s="46"/>
      <c r="K52" s="42"/>
      <c r="L52" s="44"/>
    </row>
    <row r="53" ht="36" customHeight="1">
      <c r="A53" t="s" s="47">
        <v>162</v>
      </c>
      <c r="B53" t="s" s="47">
        <v>163</v>
      </c>
      <c r="C53" t="s" s="34">
        <v>202</v>
      </c>
      <c r="D53" t="s" s="47">
        <v>203</v>
      </c>
      <c r="E53" t="s" s="47">
        <v>210</v>
      </c>
      <c r="F53" t="s" s="17">
        <v>211</v>
      </c>
      <c r="G53" s="44"/>
      <c r="H53" s="44"/>
      <c r="I53" t="str" s="44" cm="1">
        <f t="array" ref="I53">IF(AND(ISNUMBER(G53),ISNUMBER(H53)),H53-G53,"")</f>
      </c>
      <c r="J53" s="46"/>
      <c r="K53" s="42"/>
      <c r="L53" s="44"/>
    </row>
    <row r="54" ht="36" customHeight="1">
      <c r="A54" t="s" s="48">
        <v>212</v>
      </c>
      <c r="B54" t="s" s="48">
        <v>213</v>
      </c>
      <c r="C54" t="s" s="29">
        <v>214</v>
      </c>
      <c r="D54" t="s" s="48">
        <v>215</v>
      </c>
      <c r="E54" t="s" s="48">
        <v>216</v>
      </c>
      <c r="F54" t="s" s="17">
        <v>217</v>
      </c>
      <c r="G54" s="44"/>
      <c r="H54" s="44"/>
      <c r="I54" t="str" s="44" cm="1">
        <f t="array" ref="I54">IF(AND(ISNUMBER(G54),ISNUMBER(H54)),H54-G54,"")</f>
      </c>
      <c r="J54" s="46"/>
      <c r="K54" s="42"/>
      <c r="L54" s="44"/>
    </row>
    <row r="55" ht="36" customHeight="1">
      <c r="A55" t="s" s="48">
        <v>212</v>
      </c>
      <c r="B55" t="s" s="48">
        <v>213</v>
      </c>
      <c r="C55" t="s" s="29">
        <v>214</v>
      </c>
      <c r="D55" t="s" s="48">
        <v>215</v>
      </c>
      <c r="E55" t="s" s="48">
        <v>218</v>
      </c>
      <c r="F55" t="s" s="17">
        <v>219</v>
      </c>
      <c r="G55" s="44"/>
      <c r="H55" s="44"/>
      <c r="I55" t="str" s="44" cm="1">
        <f t="array" ref="I55">IF(AND(ISNUMBER(G55),ISNUMBER(H55)),H55-G55,"")</f>
      </c>
      <c r="J55" s="46"/>
      <c r="K55" s="42"/>
      <c r="L55" s="44"/>
    </row>
    <row r="56" ht="36" customHeight="1">
      <c r="A56" t="s" s="48">
        <v>212</v>
      </c>
      <c r="B56" t="s" s="48">
        <v>213</v>
      </c>
      <c r="C56" t="s" s="29">
        <v>214</v>
      </c>
      <c r="D56" t="s" s="48">
        <v>215</v>
      </c>
      <c r="E56" t="s" s="48">
        <v>220</v>
      </c>
      <c r="F56" t="s" s="17">
        <v>221</v>
      </c>
      <c r="G56" s="44"/>
      <c r="H56" s="44"/>
      <c r="I56" t="str" s="44" cm="1">
        <f t="array" ref="I56">IF(AND(ISNUMBER(G56),ISNUMBER(H56)),H56-G56,"")</f>
      </c>
      <c r="J56" s="46"/>
      <c r="K56" s="42"/>
      <c r="L56" s="44"/>
    </row>
    <row r="57" ht="36" customHeight="1">
      <c r="A57" t="s" s="48">
        <v>212</v>
      </c>
      <c r="B57" t="s" s="48">
        <v>213</v>
      </c>
      <c r="C57" t="s" s="29">
        <v>214</v>
      </c>
      <c r="D57" t="s" s="48">
        <v>215</v>
      </c>
      <c r="E57" t="s" s="48">
        <v>222</v>
      </c>
      <c r="F57" t="s" s="17">
        <v>223</v>
      </c>
      <c r="G57" s="44"/>
      <c r="H57" s="44"/>
      <c r="I57" t="str" s="44" cm="1">
        <f t="array" ref="I57">IF(AND(ISNUMBER(G57),ISNUMBER(H57)),H57-G57,"")</f>
      </c>
      <c r="J57" s="46"/>
      <c r="K57" s="42"/>
      <c r="L57" s="44"/>
    </row>
    <row r="58" ht="36" customHeight="1">
      <c r="A58" t="s" s="48">
        <v>212</v>
      </c>
      <c r="B58" t="s" s="48">
        <v>213</v>
      </c>
      <c r="C58" t="s" s="29">
        <v>214</v>
      </c>
      <c r="D58" t="s" s="48">
        <v>215</v>
      </c>
      <c r="E58" t="s" s="48">
        <v>224</v>
      </c>
      <c r="F58" t="s" s="17">
        <v>225</v>
      </c>
      <c r="G58" s="44"/>
      <c r="H58" s="44"/>
      <c r="I58" t="str" s="44" cm="1">
        <f t="array" ref="I58">IF(AND(ISNUMBER(G58),ISNUMBER(H58)),H58-G58,"")</f>
      </c>
      <c r="J58" s="46"/>
      <c r="K58" s="42"/>
      <c r="L58" s="44"/>
    </row>
    <row r="59" ht="36" customHeight="1">
      <c r="A59" t="s" s="48">
        <v>212</v>
      </c>
      <c r="B59" t="s" s="48">
        <v>213</v>
      </c>
      <c r="C59" t="s" s="29">
        <v>214</v>
      </c>
      <c r="D59" t="s" s="48">
        <v>215</v>
      </c>
      <c r="E59" t="s" s="48">
        <v>226</v>
      </c>
      <c r="F59" t="s" s="17">
        <v>227</v>
      </c>
      <c r="G59" s="44"/>
      <c r="H59" s="44"/>
      <c r="I59" t="str" s="44" cm="1">
        <f t="array" ref="I59">IF(AND(ISNUMBER(G59),ISNUMBER(H59)),H59-G59,"")</f>
      </c>
      <c r="J59" s="46"/>
      <c r="K59" s="42"/>
      <c r="L59" s="44"/>
    </row>
    <row r="60" ht="36" customHeight="1">
      <c r="A60" t="s" s="48">
        <v>212</v>
      </c>
      <c r="B60" t="s" s="48">
        <v>213</v>
      </c>
      <c r="C60" t="s" s="29">
        <v>228</v>
      </c>
      <c r="D60" t="s" s="48">
        <v>229</v>
      </c>
      <c r="E60" t="s" s="48">
        <v>230</v>
      </c>
      <c r="F60" t="s" s="17">
        <v>231</v>
      </c>
      <c r="G60" s="44"/>
      <c r="H60" s="44"/>
      <c r="I60" t="str" s="44" cm="1">
        <f t="array" ref="I60">IF(AND(ISNUMBER(G60),ISNUMBER(H60)),H60-G60,"")</f>
      </c>
      <c r="J60" s="46"/>
      <c r="K60" s="42"/>
      <c r="L60" s="44"/>
    </row>
    <row r="61" ht="36" customHeight="1">
      <c r="A61" t="s" s="48">
        <v>212</v>
      </c>
      <c r="B61" t="s" s="48">
        <v>213</v>
      </c>
      <c r="C61" t="s" s="29">
        <v>228</v>
      </c>
      <c r="D61" t="s" s="48">
        <v>229</v>
      </c>
      <c r="E61" t="s" s="48">
        <v>232</v>
      </c>
      <c r="F61" t="s" s="17">
        <v>233</v>
      </c>
      <c r="G61" s="44"/>
      <c r="H61" s="44"/>
      <c r="I61" t="str" s="44" cm="1">
        <f t="array" ref="I61">IF(AND(ISNUMBER(G61),ISNUMBER(H61)),H61-G61,"")</f>
      </c>
      <c r="J61" s="46"/>
      <c r="K61" s="42"/>
      <c r="L61" s="44"/>
    </row>
    <row r="62" ht="36" customHeight="1">
      <c r="A62" t="s" s="48">
        <v>212</v>
      </c>
      <c r="B62" t="s" s="48">
        <v>213</v>
      </c>
      <c r="C62" t="s" s="29">
        <v>234</v>
      </c>
      <c r="D62" t="s" s="48">
        <v>235</v>
      </c>
      <c r="E62" t="s" s="48">
        <v>236</v>
      </c>
      <c r="F62" t="s" s="17">
        <v>237</v>
      </c>
      <c r="G62" s="44"/>
      <c r="H62" s="44"/>
      <c r="I62" t="str" s="44" cm="1">
        <f t="array" ref="I62">IF(AND(ISNUMBER(G62),ISNUMBER(H62)),H62-G62,"")</f>
      </c>
      <c r="J62" s="46"/>
      <c r="K62" s="42"/>
      <c r="L62" s="44"/>
    </row>
    <row r="63" ht="36" customHeight="1">
      <c r="A63" t="s" s="48">
        <v>212</v>
      </c>
      <c r="B63" t="s" s="48">
        <v>213</v>
      </c>
      <c r="C63" t="s" s="29">
        <v>234</v>
      </c>
      <c r="D63" t="s" s="48">
        <v>235</v>
      </c>
      <c r="E63" t="s" s="48">
        <v>238</v>
      </c>
      <c r="F63" t="s" s="17">
        <v>239</v>
      </c>
      <c r="G63" s="44"/>
      <c r="H63" s="44"/>
      <c r="I63" t="str" s="44" cm="1">
        <f t="array" ref="I63">IF(AND(ISNUMBER(G63),ISNUMBER(H63)),H63-G63,"")</f>
      </c>
      <c r="J63" s="46"/>
      <c r="K63" s="42"/>
      <c r="L63" s="44"/>
    </row>
    <row r="64" ht="36" customHeight="1">
      <c r="A64" t="s" s="48">
        <v>212</v>
      </c>
      <c r="B64" t="s" s="48">
        <v>213</v>
      </c>
      <c r="C64" t="s" s="29">
        <v>234</v>
      </c>
      <c r="D64" t="s" s="48">
        <v>235</v>
      </c>
      <c r="E64" t="s" s="48">
        <v>240</v>
      </c>
      <c r="F64" t="s" s="17">
        <v>241</v>
      </c>
      <c r="G64" s="44"/>
      <c r="H64" s="44"/>
      <c r="I64" t="str" s="44" cm="1">
        <f t="array" ref="I64">IF(AND(ISNUMBER(G64),ISNUMBER(H64)),H64-G64,"")</f>
      </c>
      <c r="J64" s="46"/>
      <c r="K64" s="42"/>
      <c r="L64" s="44"/>
    </row>
    <row r="65" ht="36" customHeight="1">
      <c r="A65" t="s" s="48">
        <v>212</v>
      </c>
      <c r="B65" t="s" s="48">
        <v>213</v>
      </c>
      <c r="C65" t="s" s="29">
        <v>234</v>
      </c>
      <c r="D65" t="s" s="48">
        <v>235</v>
      </c>
      <c r="E65" t="s" s="48">
        <v>242</v>
      </c>
      <c r="F65" t="s" s="17">
        <v>243</v>
      </c>
      <c r="G65" s="44"/>
      <c r="H65" s="44"/>
      <c r="I65" t="str" s="44" cm="1">
        <f t="array" ref="I65">IF(AND(ISNUMBER(G65),ISNUMBER(H65)),H65-G65,"")</f>
      </c>
      <c r="J65" s="46"/>
      <c r="K65" s="42"/>
      <c r="L65" s="44"/>
    </row>
    <row r="66" ht="36" customHeight="1">
      <c r="A66" t="s" s="48">
        <v>212</v>
      </c>
      <c r="B66" t="s" s="48">
        <v>213</v>
      </c>
      <c r="C66" t="s" s="29">
        <v>244</v>
      </c>
      <c r="D66" t="s" s="48">
        <v>245</v>
      </c>
      <c r="E66" t="s" s="48">
        <v>246</v>
      </c>
      <c r="F66" t="s" s="17">
        <v>247</v>
      </c>
      <c r="G66" s="44"/>
      <c r="H66" s="44"/>
      <c r="I66" t="str" s="44" cm="1">
        <f t="array" ref="I66">IF(AND(ISNUMBER(G66),ISNUMBER(H66)),H66-G66,"")</f>
      </c>
      <c r="J66" s="46"/>
      <c r="K66" s="42"/>
      <c r="L66" s="44"/>
    </row>
    <row r="67" ht="36" customHeight="1">
      <c r="A67" t="s" s="48">
        <v>212</v>
      </c>
      <c r="B67" t="s" s="48">
        <v>213</v>
      </c>
      <c r="C67" t="s" s="29">
        <v>244</v>
      </c>
      <c r="D67" t="s" s="48">
        <v>245</v>
      </c>
      <c r="E67" t="s" s="48">
        <v>248</v>
      </c>
      <c r="F67" t="s" s="17">
        <v>249</v>
      </c>
      <c r="G67" s="44"/>
      <c r="H67" s="44"/>
      <c r="I67" t="str" s="44" cm="1">
        <f t="array" ref="I67">IF(AND(ISNUMBER(G67),ISNUMBER(H67)),H67-G67,"")</f>
      </c>
      <c r="J67" s="46"/>
      <c r="K67" s="42"/>
      <c r="L67" s="44"/>
    </row>
    <row r="68" ht="36" customHeight="1">
      <c r="A68" t="s" s="48">
        <v>212</v>
      </c>
      <c r="B68" t="s" s="48">
        <v>213</v>
      </c>
      <c r="C68" t="s" s="29">
        <v>244</v>
      </c>
      <c r="D68" t="s" s="48">
        <v>245</v>
      </c>
      <c r="E68" t="s" s="48">
        <v>250</v>
      </c>
      <c r="F68" t="s" s="17">
        <v>251</v>
      </c>
      <c r="G68" s="44"/>
      <c r="H68" s="44"/>
      <c r="I68" t="str" s="44" cm="1">
        <f t="array" ref="I68">IF(AND(ISNUMBER(G68),ISNUMBER(H68)),H68-G68,"")</f>
      </c>
      <c r="J68" s="46"/>
      <c r="K68" s="42"/>
      <c r="L68" s="44"/>
    </row>
    <row r="69" ht="36" customHeight="1">
      <c r="A69" t="s" s="48">
        <v>212</v>
      </c>
      <c r="B69" t="s" s="48">
        <v>213</v>
      </c>
      <c r="C69" t="s" s="29">
        <v>244</v>
      </c>
      <c r="D69" t="s" s="48">
        <v>245</v>
      </c>
      <c r="E69" t="s" s="48">
        <v>252</v>
      </c>
      <c r="F69" t="s" s="17">
        <v>253</v>
      </c>
      <c r="G69" s="44"/>
      <c r="H69" s="44"/>
      <c r="I69" t="str" s="44" cm="1">
        <f t="array" ref="I69">IF(AND(ISNUMBER(G69),ISNUMBER(H69)),H69-G69,"")</f>
      </c>
      <c r="J69" s="46"/>
      <c r="K69" s="42"/>
      <c r="L69" s="44"/>
    </row>
    <row r="70" ht="36" customHeight="1">
      <c r="A70" t="s" s="48">
        <v>212</v>
      </c>
      <c r="B70" t="s" s="48">
        <v>213</v>
      </c>
      <c r="C70" t="s" s="29">
        <v>244</v>
      </c>
      <c r="D70" t="s" s="48">
        <v>245</v>
      </c>
      <c r="E70" t="s" s="48">
        <v>254</v>
      </c>
      <c r="F70" t="s" s="17">
        <v>255</v>
      </c>
      <c r="G70" s="44"/>
      <c r="H70" s="44"/>
      <c r="I70" t="str" s="44" cm="1">
        <f t="array" ref="I70">IF(AND(ISNUMBER(G70),ISNUMBER(H70)),H70-G70,"")</f>
      </c>
      <c r="J70" s="46"/>
      <c r="K70" s="42"/>
      <c r="L70" s="44"/>
    </row>
    <row r="71" ht="36" customHeight="1">
      <c r="A71" t="s" s="48">
        <v>212</v>
      </c>
      <c r="B71" t="s" s="48">
        <v>213</v>
      </c>
      <c r="C71" t="s" s="29">
        <v>244</v>
      </c>
      <c r="D71" t="s" s="48">
        <v>245</v>
      </c>
      <c r="E71" t="s" s="48">
        <v>256</v>
      </c>
      <c r="F71" t="s" s="17">
        <v>257</v>
      </c>
      <c r="G71" s="44"/>
      <c r="H71" s="44"/>
      <c r="I71" t="str" s="44" cm="1">
        <f t="array" ref="I71">IF(AND(ISNUMBER(G71),ISNUMBER(H71)),H71-G71,"")</f>
      </c>
      <c r="J71" s="46"/>
      <c r="K71" s="42"/>
      <c r="L71" s="44"/>
    </row>
    <row r="72" ht="36" customHeight="1">
      <c r="A72" t="s" s="48">
        <v>212</v>
      </c>
      <c r="B72" t="s" s="48">
        <v>213</v>
      </c>
      <c r="C72" t="s" s="29">
        <v>258</v>
      </c>
      <c r="D72" t="s" s="48">
        <v>259</v>
      </c>
      <c r="E72" t="s" s="48">
        <v>260</v>
      </c>
      <c r="F72" t="s" s="17">
        <v>261</v>
      </c>
      <c r="G72" s="44"/>
      <c r="H72" s="44"/>
      <c r="I72" t="str" s="44" cm="1">
        <f t="array" ref="I72">IF(AND(ISNUMBER(G72),ISNUMBER(H72)),H72-G72,"")</f>
      </c>
      <c r="J72" s="46"/>
      <c r="K72" s="42"/>
      <c r="L72" s="44"/>
    </row>
    <row r="73" ht="36" customHeight="1">
      <c r="A73" t="s" s="48">
        <v>212</v>
      </c>
      <c r="B73" t="s" s="48">
        <v>213</v>
      </c>
      <c r="C73" t="s" s="29">
        <v>258</v>
      </c>
      <c r="D73" t="s" s="48">
        <v>259</v>
      </c>
      <c r="E73" t="s" s="48">
        <v>262</v>
      </c>
      <c r="F73" t="s" s="17">
        <v>263</v>
      </c>
      <c r="G73" s="44"/>
      <c r="H73" s="44"/>
      <c r="I73" t="str" s="44" cm="1">
        <f t="array" ref="I73">IF(AND(ISNUMBER(G73),ISNUMBER(H73)),H73-G73,"")</f>
      </c>
      <c r="J73" s="46"/>
      <c r="K73" s="42"/>
      <c r="L73" s="44"/>
    </row>
    <row r="74" ht="36" customHeight="1">
      <c r="A74" t="s" s="48">
        <v>212</v>
      </c>
      <c r="B74" t="s" s="48">
        <v>213</v>
      </c>
      <c r="C74" t="s" s="29">
        <v>258</v>
      </c>
      <c r="D74" t="s" s="48">
        <v>259</v>
      </c>
      <c r="E74" t="s" s="48">
        <v>264</v>
      </c>
      <c r="F74" t="s" s="17">
        <v>265</v>
      </c>
      <c r="G74" s="44"/>
      <c r="H74" s="44"/>
      <c r="I74" t="str" s="44" cm="1">
        <f t="array" ref="I74">IF(AND(ISNUMBER(G74),ISNUMBER(H74)),H74-G74,"")</f>
      </c>
      <c r="J74" s="46"/>
      <c r="K74" s="42"/>
      <c r="L74" s="44"/>
    </row>
    <row r="75" ht="36" customHeight="1">
      <c r="A75" t="s" s="48">
        <v>212</v>
      </c>
      <c r="B75" t="s" s="48">
        <v>213</v>
      </c>
      <c r="C75" t="s" s="29">
        <v>258</v>
      </c>
      <c r="D75" t="s" s="48">
        <v>259</v>
      </c>
      <c r="E75" t="s" s="48">
        <v>266</v>
      </c>
      <c r="F75" t="s" s="17">
        <v>267</v>
      </c>
      <c r="G75" s="44"/>
      <c r="H75" s="44"/>
      <c r="I75" t="str" s="44" cm="1">
        <f t="array" ref="I75">IF(AND(ISNUMBER(G75),ISNUMBER(H75)),H75-G75,"")</f>
      </c>
      <c r="J75" s="46"/>
      <c r="K75" s="42"/>
      <c r="L75" s="44"/>
    </row>
    <row r="76" ht="36" customHeight="1">
      <c r="A76" t="s" s="49">
        <v>268</v>
      </c>
      <c r="B76" t="s" s="49">
        <v>269</v>
      </c>
      <c r="C76" t="s" s="26">
        <v>270</v>
      </c>
      <c r="D76" t="s" s="49">
        <v>271</v>
      </c>
      <c r="E76" t="s" s="49">
        <v>272</v>
      </c>
      <c r="F76" t="s" s="17">
        <v>273</v>
      </c>
      <c r="G76" s="44"/>
      <c r="H76" s="44"/>
      <c r="I76" t="str" s="44" cm="1">
        <f t="array" ref="I76">IF(AND(ISNUMBER(G76),ISNUMBER(H76)),H76-G76,"")</f>
      </c>
      <c r="J76" s="46"/>
      <c r="K76" s="42"/>
      <c r="L76" s="44"/>
    </row>
    <row r="77" ht="36" customHeight="1">
      <c r="A77" t="s" s="49">
        <v>268</v>
      </c>
      <c r="B77" t="s" s="49">
        <v>269</v>
      </c>
      <c r="C77" t="s" s="26">
        <v>270</v>
      </c>
      <c r="D77" t="s" s="49">
        <v>271</v>
      </c>
      <c r="E77" t="s" s="49">
        <v>274</v>
      </c>
      <c r="F77" t="s" s="17">
        <v>275</v>
      </c>
      <c r="G77" s="44"/>
      <c r="H77" s="44"/>
      <c r="I77" t="str" s="44" cm="1">
        <f t="array" ref="I77">IF(AND(ISNUMBER(G77),ISNUMBER(H77)),H77-G77,"")</f>
      </c>
      <c r="J77" s="46"/>
      <c r="K77" s="42"/>
      <c r="L77" s="44"/>
    </row>
    <row r="78" ht="36" customHeight="1">
      <c r="A78" t="s" s="49">
        <v>268</v>
      </c>
      <c r="B78" t="s" s="49">
        <v>269</v>
      </c>
      <c r="C78" t="s" s="26">
        <v>270</v>
      </c>
      <c r="D78" t="s" s="49">
        <v>271</v>
      </c>
      <c r="E78" t="s" s="49">
        <v>276</v>
      </c>
      <c r="F78" t="s" s="17">
        <v>277</v>
      </c>
      <c r="G78" s="44"/>
      <c r="H78" s="44"/>
      <c r="I78" t="str" s="44" cm="1">
        <f t="array" ref="I78">IF(AND(ISNUMBER(G78),ISNUMBER(H78)),H78-G78,"")</f>
      </c>
      <c r="J78" s="46"/>
      <c r="K78" s="42"/>
      <c r="L78" s="44"/>
    </row>
    <row r="79" ht="36" customHeight="1">
      <c r="A79" t="s" s="49">
        <v>268</v>
      </c>
      <c r="B79" t="s" s="49">
        <v>269</v>
      </c>
      <c r="C79" t="s" s="26">
        <v>270</v>
      </c>
      <c r="D79" t="s" s="49">
        <v>271</v>
      </c>
      <c r="E79" t="s" s="49">
        <v>278</v>
      </c>
      <c r="F79" t="s" s="17">
        <v>279</v>
      </c>
      <c r="G79" s="44"/>
      <c r="H79" s="44"/>
      <c r="I79" t="str" s="44" cm="1">
        <f t="array" ref="I79">IF(AND(ISNUMBER(G79),ISNUMBER(H79)),H79-G79,"")</f>
      </c>
      <c r="J79" s="46"/>
      <c r="K79" s="42"/>
      <c r="L79" s="44"/>
    </row>
    <row r="80" ht="36" customHeight="1">
      <c r="A80" t="s" s="49">
        <v>268</v>
      </c>
      <c r="B80" t="s" s="49">
        <v>269</v>
      </c>
      <c r="C80" t="s" s="26">
        <v>270</v>
      </c>
      <c r="D80" t="s" s="49">
        <v>271</v>
      </c>
      <c r="E80" t="s" s="49">
        <v>280</v>
      </c>
      <c r="F80" t="s" s="17">
        <v>281</v>
      </c>
      <c r="G80" s="44"/>
      <c r="H80" s="44"/>
      <c r="I80" t="str" s="44" cm="1">
        <f t="array" ref="I80">IF(AND(ISNUMBER(G80),ISNUMBER(H80)),H80-G80,"")</f>
      </c>
      <c r="J80" s="46"/>
      <c r="K80" s="42"/>
      <c r="L80" s="44"/>
    </row>
    <row r="81" ht="36" customHeight="1">
      <c r="A81" t="s" s="49">
        <v>268</v>
      </c>
      <c r="B81" t="s" s="49">
        <v>269</v>
      </c>
      <c r="C81" t="s" s="26">
        <v>282</v>
      </c>
      <c r="D81" t="s" s="49">
        <v>283</v>
      </c>
      <c r="E81" t="s" s="49">
        <v>284</v>
      </c>
      <c r="F81" t="s" s="17">
        <v>285</v>
      </c>
      <c r="G81" s="44"/>
      <c r="H81" s="44"/>
      <c r="I81" t="str" s="44" cm="1">
        <f t="array" ref="I81">IF(AND(ISNUMBER(G81),ISNUMBER(H81)),H81-G81,"")</f>
      </c>
      <c r="J81" s="46"/>
      <c r="K81" s="42"/>
      <c r="L81" s="44"/>
    </row>
    <row r="82" ht="36" customHeight="1">
      <c r="A82" t="s" s="49">
        <v>268</v>
      </c>
      <c r="B82" t="s" s="49">
        <v>269</v>
      </c>
      <c r="C82" t="s" s="26">
        <v>282</v>
      </c>
      <c r="D82" t="s" s="49">
        <v>283</v>
      </c>
      <c r="E82" t="s" s="49">
        <v>286</v>
      </c>
      <c r="F82" t="s" s="17">
        <v>287</v>
      </c>
      <c r="G82" s="44"/>
      <c r="H82" s="44"/>
      <c r="I82" t="str" s="44" cm="1">
        <f t="array" ref="I82">IF(AND(ISNUMBER(G82),ISNUMBER(H82)),H82-G82,"")</f>
      </c>
      <c r="J82" s="46"/>
      <c r="K82" s="42"/>
      <c r="L82" s="44"/>
    </row>
    <row r="83" ht="36" customHeight="1">
      <c r="A83" t="s" s="49">
        <v>268</v>
      </c>
      <c r="B83" t="s" s="49">
        <v>269</v>
      </c>
      <c r="C83" t="s" s="26">
        <v>282</v>
      </c>
      <c r="D83" t="s" s="49">
        <v>283</v>
      </c>
      <c r="E83" t="s" s="49">
        <v>288</v>
      </c>
      <c r="F83" t="s" s="17">
        <v>289</v>
      </c>
      <c r="G83" s="44"/>
      <c r="H83" s="44"/>
      <c r="I83" t="str" s="44" cm="1">
        <f t="array" ref="I83">IF(AND(ISNUMBER(G83),ISNUMBER(H83)),H83-G83,"")</f>
      </c>
      <c r="J83" s="46"/>
      <c r="K83" s="42"/>
      <c r="L83" s="44"/>
    </row>
    <row r="84" ht="36" customHeight="1">
      <c r="A84" t="s" s="49">
        <v>268</v>
      </c>
      <c r="B84" t="s" s="49">
        <v>269</v>
      </c>
      <c r="C84" t="s" s="26">
        <v>282</v>
      </c>
      <c r="D84" t="s" s="49">
        <v>283</v>
      </c>
      <c r="E84" t="s" s="49">
        <v>290</v>
      </c>
      <c r="F84" t="s" s="17">
        <v>291</v>
      </c>
      <c r="G84" s="44"/>
      <c r="H84" s="44"/>
      <c r="I84" t="str" s="44" cm="1">
        <f t="array" ref="I84">IF(AND(ISNUMBER(G84),ISNUMBER(H84)),H84-G84,"")</f>
      </c>
      <c r="J84" s="46"/>
      <c r="K84" s="42"/>
      <c r="L84" s="44"/>
    </row>
    <row r="85" ht="36" customHeight="1">
      <c r="A85" t="s" s="49">
        <v>268</v>
      </c>
      <c r="B85" t="s" s="49">
        <v>269</v>
      </c>
      <c r="C85" t="s" s="26">
        <v>282</v>
      </c>
      <c r="D85" t="s" s="49">
        <v>283</v>
      </c>
      <c r="E85" t="s" s="49">
        <v>292</v>
      </c>
      <c r="F85" t="s" s="17">
        <v>293</v>
      </c>
      <c r="G85" s="44"/>
      <c r="H85" s="44"/>
      <c r="I85" t="str" s="44" cm="1">
        <f t="array" ref="I85">IF(AND(ISNUMBER(G85),ISNUMBER(H85)),H85-G85,"")</f>
      </c>
      <c r="J85" s="46"/>
      <c r="K85" s="42"/>
      <c r="L85" s="44"/>
    </row>
    <row r="86" ht="36" customHeight="1">
      <c r="A86" t="s" s="49">
        <v>268</v>
      </c>
      <c r="B86" t="s" s="49">
        <v>269</v>
      </c>
      <c r="C86" t="s" s="26">
        <v>282</v>
      </c>
      <c r="D86" t="s" s="49">
        <v>283</v>
      </c>
      <c r="E86" t="s" s="49">
        <v>294</v>
      </c>
      <c r="F86" t="s" s="17">
        <v>295</v>
      </c>
      <c r="G86" s="44"/>
      <c r="H86" s="44"/>
      <c r="I86" t="str" s="44" cm="1">
        <f t="array" ref="I86">IF(AND(ISNUMBER(G86),ISNUMBER(H86)),H86-G86,"")</f>
      </c>
      <c r="J86" s="46"/>
      <c r="K86" s="42"/>
      <c r="L86" s="44"/>
    </row>
    <row r="87" ht="36" customHeight="1">
      <c r="A87" t="s" s="50">
        <v>296</v>
      </c>
      <c r="B87" t="s" s="50">
        <v>297</v>
      </c>
      <c r="C87" t="s" s="51">
        <v>298</v>
      </c>
      <c r="D87" t="s" s="50">
        <v>299</v>
      </c>
      <c r="E87" t="s" s="50">
        <v>300</v>
      </c>
      <c r="F87" t="s" s="17">
        <v>301</v>
      </c>
      <c r="G87" s="44"/>
      <c r="H87" s="44"/>
      <c r="I87" t="str" s="44" cm="1">
        <f t="array" ref="I87">IF(AND(ISNUMBER(G87),ISNUMBER(H87)),H87-G87,"")</f>
      </c>
      <c r="J87" s="46"/>
      <c r="K87" s="42"/>
      <c r="L87" s="44"/>
    </row>
    <row r="88" ht="36" customHeight="1">
      <c r="A88" t="s" s="50">
        <v>296</v>
      </c>
      <c r="B88" t="s" s="50">
        <v>297</v>
      </c>
      <c r="C88" t="s" s="51">
        <v>298</v>
      </c>
      <c r="D88" t="s" s="50">
        <v>299</v>
      </c>
      <c r="E88" t="s" s="50">
        <v>302</v>
      </c>
      <c r="F88" t="s" s="17">
        <v>303</v>
      </c>
      <c r="G88" s="44"/>
      <c r="H88" s="44"/>
      <c r="I88" t="str" s="44" cm="1">
        <f t="array" ref="I88">IF(AND(ISNUMBER(G88),ISNUMBER(H88)),H88-G88,"")</f>
      </c>
      <c r="J88" s="46"/>
      <c r="K88" s="42"/>
      <c r="L88" s="44"/>
    </row>
    <row r="89" ht="36" customHeight="1">
      <c r="A89" t="s" s="50">
        <v>296</v>
      </c>
      <c r="B89" t="s" s="50">
        <v>297</v>
      </c>
      <c r="C89" t="s" s="51">
        <v>298</v>
      </c>
      <c r="D89" t="s" s="50">
        <v>299</v>
      </c>
      <c r="E89" t="s" s="50">
        <v>304</v>
      </c>
      <c r="F89" t="s" s="17">
        <v>305</v>
      </c>
      <c r="G89" s="44"/>
      <c r="H89" s="44"/>
      <c r="I89" t="str" s="44" cm="1">
        <f t="array" ref="I89">IF(AND(ISNUMBER(G89),ISNUMBER(H89)),H89-G89,"")</f>
      </c>
      <c r="J89" s="46"/>
      <c r="K89" s="42"/>
      <c r="L89" s="44"/>
    </row>
    <row r="90" ht="36" customHeight="1">
      <c r="A90" t="s" s="50">
        <v>296</v>
      </c>
      <c r="B90" t="s" s="50">
        <v>297</v>
      </c>
      <c r="C90" t="s" s="51">
        <v>298</v>
      </c>
      <c r="D90" t="s" s="50">
        <v>299</v>
      </c>
      <c r="E90" t="s" s="50">
        <v>306</v>
      </c>
      <c r="F90" t="s" s="17">
        <v>307</v>
      </c>
      <c r="G90" s="44"/>
      <c r="H90" s="44"/>
      <c r="I90" t="str" s="44" cm="1">
        <f t="array" ref="I90">IF(AND(ISNUMBER(G90),ISNUMBER(H90)),H90-G90,"")</f>
      </c>
      <c r="J90" s="46"/>
      <c r="K90" s="42"/>
      <c r="L90" s="44"/>
    </row>
    <row r="91" ht="36" customHeight="1">
      <c r="A91" t="s" s="50">
        <v>296</v>
      </c>
      <c r="B91" t="s" s="50">
        <v>297</v>
      </c>
      <c r="C91" t="s" s="51">
        <v>298</v>
      </c>
      <c r="D91" t="s" s="50">
        <v>299</v>
      </c>
      <c r="E91" t="s" s="50">
        <v>308</v>
      </c>
      <c r="F91" t="s" s="17">
        <v>309</v>
      </c>
      <c r="G91" s="44"/>
      <c r="H91" s="44"/>
      <c r="I91" t="str" s="44" cm="1">
        <f t="array" ref="I91">IF(AND(ISNUMBER(G91),ISNUMBER(H91)),H91-G91,"")</f>
      </c>
      <c r="J91" s="46"/>
      <c r="K91" s="42"/>
      <c r="L91" s="44"/>
    </row>
    <row r="92" ht="36" customHeight="1">
      <c r="A92" t="s" s="50">
        <v>296</v>
      </c>
      <c r="B92" t="s" s="50">
        <v>297</v>
      </c>
      <c r="C92" t="s" s="51">
        <v>310</v>
      </c>
      <c r="D92" t="s" s="50">
        <v>311</v>
      </c>
      <c r="E92" t="s" s="50">
        <v>312</v>
      </c>
      <c r="F92" t="s" s="17">
        <v>313</v>
      </c>
      <c r="G92" s="44"/>
      <c r="H92" s="44"/>
      <c r="I92" t="str" s="44" cm="1">
        <f t="array" ref="I92">IF(AND(ISNUMBER(G92),ISNUMBER(H92)),H92-G92,"")</f>
      </c>
      <c r="J92" s="46"/>
      <c r="K92" s="42"/>
      <c r="L92" s="44"/>
    </row>
    <row r="93" ht="36" customHeight="1">
      <c r="A93" t="s" s="50">
        <v>296</v>
      </c>
      <c r="B93" t="s" s="50">
        <v>297</v>
      </c>
      <c r="C93" t="s" s="51">
        <v>310</v>
      </c>
      <c r="D93" t="s" s="50">
        <v>311</v>
      </c>
      <c r="E93" t="s" s="50">
        <v>314</v>
      </c>
      <c r="F93" t="s" s="17">
        <v>315</v>
      </c>
      <c r="G93" s="44"/>
      <c r="H93" s="44"/>
      <c r="I93" t="str" s="44" cm="1">
        <f t="array" ref="I93">IF(AND(ISNUMBER(G93),ISNUMBER(H93)),H93-G93,"")</f>
      </c>
      <c r="J93" s="46"/>
      <c r="K93" s="42"/>
      <c r="L93" s="44"/>
    </row>
    <row r="94" ht="36" customHeight="1">
      <c r="A94" t="s" s="50">
        <v>296</v>
      </c>
      <c r="B94" t="s" s="50">
        <v>297</v>
      </c>
      <c r="C94" t="s" s="51">
        <v>310</v>
      </c>
      <c r="D94" t="s" s="50">
        <v>311</v>
      </c>
      <c r="E94" t="s" s="50">
        <v>316</v>
      </c>
      <c r="F94" t="s" s="17">
        <v>317</v>
      </c>
      <c r="G94" s="44"/>
      <c r="H94" s="44"/>
      <c r="I94" t="str" s="44" cm="1">
        <f t="array" ref="I94">IF(AND(ISNUMBER(G94),ISNUMBER(H94)),H94-G94,"")</f>
      </c>
      <c r="J94" s="46"/>
      <c r="K94" s="42"/>
      <c r="L94" s="44"/>
    </row>
    <row r="95" ht="36" customHeight="1">
      <c r="A95" t="s" s="50">
        <v>296</v>
      </c>
      <c r="B95" t="s" s="50">
        <v>297</v>
      </c>
      <c r="C95" t="s" s="51">
        <v>310</v>
      </c>
      <c r="D95" t="s" s="50">
        <v>311</v>
      </c>
      <c r="E95" t="s" s="50">
        <v>318</v>
      </c>
      <c r="F95" t="s" s="17">
        <v>319</v>
      </c>
      <c r="G95" s="44"/>
      <c r="H95" s="44"/>
      <c r="I95" t="str" s="44" cm="1">
        <f t="array" ref="I95">IF(AND(ISNUMBER(G95),ISNUMBER(H95)),H95-G95,"")</f>
      </c>
      <c r="J95" s="46"/>
      <c r="K95" s="42"/>
      <c r="L95" s="44"/>
    </row>
    <row r="96" ht="36" customHeight="1">
      <c r="A96" t="s" s="50">
        <v>296</v>
      </c>
      <c r="B96" t="s" s="50">
        <v>297</v>
      </c>
      <c r="C96" t="s" s="51">
        <v>320</v>
      </c>
      <c r="D96" t="s" s="50">
        <v>321</v>
      </c>
      <c r="E96" t="s" s="50">
        <v>322</v>
      </c>
      <c r="F96" t="s" s="17">
        <v>323</v>
      </c>
      <c r="G96" s="44"/>
      <c r="H96" s="44"/>
      <c r="I96" t="str" s="44" cm="1">
        <f t="array" ref="I96">IF(AND(ISNUMBER(G96),ISNUMBER(H96)),H96-G96,"")</f>
      </c>
      <c r="J96" s="46"/>
      <c r="K96" s="42"/>
      <c r="L96" s="44"/>
    </row>
    <row r="97" ht="36" customHeight="1">
      <c r="A97" t="s" s="50">
        <v>296</v>
      </c>
      <c r="B97" t="s" s="50">
        <v>297</v>
      </c>
      <c r="C97" t="s" s="51">
        <v>320</v>
      </c>
      <c r="D97" t="s" s="50">
        <v>321</v>
      </c>
      <c r="E97" t="s" s="50">
        <v>324</v>
      </c>
      <c r="F97" t="s" s="17">
        <v>325</v>
      </c>
      <c r="G97" s="44"/>
      <c r="H97" s="44"/>
      <c r="I97" t="str" s="44" cm="1">
        <f t="array" ref="I97">IF(AND(ISNUMBER(G97),ISNUMBER(H97)),H97-G97,"")</f>
      </c>
      <c r="J97" s="46"/>
      <c r="K97" s="42"/>
      <c r="L97" s="44"/>
    </row>
    <row r="98" ht="36" customHeight="1">
      <c r="A98" t="s" s="50">
        <v>296</v>
      </c>
      <c r="B98" t="s" s="50">
        <v>297</v>
      </c>
      <c r="C98" t="s" s="51">
        <v>326</v>
      </c>
      <c r="D98" t="s" s="50">
        <v>327</v>
      </c>
      <c r="E98" t="s" s="50">
        <v>328</v>
      </c>
      <c r="F98" t="s" s="17">
        <v>329</v>
      </c>
      <c r="G98" s="44"/>
      <c r="H98" s="44"/>
      <c r="I98" t="str" s="44" cm="1">
        <f t="array" ref="I98">IF(AND(ISNUMBER(G98),ISNUMBER(H98)),H98-G98,"")</f>
      </c>
      <c r="J98" s="46"/>
      <c r="K98" s="42"/>
      <c r="L98" s="44"/>
    </row>
    <row r="99" ht="36" customHeight="1">
      <c r="A99" t="s" s="50">
        <v>296</v>
      </c>
      <c r="B99" t="s" s="50">
        <v>297</v>
      </c>
      <c r="C99" t="s" s="51">
        <v>326</v>
      </c>
      <c r="D99" t="s" s="50">
        <v>327</v>
      </c>
      <c r="E99" t="s" s="50">
        <v>330</v>
      </c>
      <c r="F99" t="s" s="17">
        <v>331</v>
      </c>
      <c r="G99" s="44"/>
      <c r="H99" s="44"/>
      <c r="I99" t="str" s="44" cm="1">
        <f t="array" ref="I99">IF(AND(ISNUMBER(G99),ISNUMBER(H99)),H99-G99,"")</f>
      </c>
      <c r="J99" s="46"/>
      <c r="K99" s="42"/>
      <c r="L99" s="44"/>
    </row>
    <row r="100" ht="36" customHeight="1">
      <c r="A100" t="s" s="52">
        <v>332</v>
      </c>
      <c r="B100" t="s" s="52">
        <v>333</v>
      </c>
      <c r="C100" t="s" s="53">
        <v>334</v>
      </c>
      <c r="D100" t="s" s="52">
        <v>335</v>
      </c>
      <c r="E100" t="s" s="52">
        <v>336</v>
      </c>
      <c r="F100" t="s" s="17">
        <v>337</v>
      </c>
      <c r="G100" s="44"/>
      <c r="H100" s="44"/>
      <c r="I100" t="str" s="44" cm="1">
        <f t="array" ref="I100">IF(AND(ISNUMBER(G100),ISNUMBER(H100)),H100-G100,"")</f>
      </c>
      <c r="J100" s="46"/>
      <c r="K100" s="42"/>
      <c r="L100" s="44"/>
    </row>
    <row r="101" ht="36" customHeight="1">
      <c r="A101" t="s" s="52">
        <v>332</v>
      </c>
      <c r="B101" t="s" s="52">
        <v>333</v>
      </c>
      <c r="C101" t="s" s="53">
        <v>334</v>
      </c>
      <c r="D101" t="s" s="52">
        <v>335</v>
      </c>
      <c r="E101" t="s" s="52">
        <v>338</v>
      </c>
      <c r="F101" t="s" s="17">
        <v>339</v>
      </c>
      <c r="G101" s="44"/>
      <c r="H101" s="44"/>
      <c r="I101" t="str" s="44" cm="1">
        <f t="array" ref="I101">IF(AND(ISNUMBER(G101),ISNUMBER(H101)),H101-G101,"")</f>
      </c>
      <c r="J101" s="46"/>
      <c r="K101" s="42"/>
      <c r="L101" s="44"/>
    </row>
    <row r="102" ht="36" customHeight="1">
      <c r="A102" t="s" s="52">
        <v>332</v>
      </c>
      <c r="B102" t="s" s="52">
        <v>333</v>
      </c>
      <c r="C102" t="s" s="53">
        <v>334</v>
      </c>
      <c r="D102" t="s" s="52">
        <v>335</v>
      </c>
      <c r="E102" t="s" s="52">
        <v>340</v>
      </c>
      <c r="F102" t="s" s="17">
        <v>341</v>
      </c>
      <c r="G102" s="44"/>
      <c r="H102" s="44"/>
      <c r="I102" t="str" s="44" cm="1">
        <f t="array" ref="I102">IF(AND(ISNUMBER(G102),ISNUMBER(H102)),H102-G102,"")</f>
      </c>
      <c r="J102" s="46"/>
      <c r="K102" s="42"/>
      <c r="L102" s="44"/>
    </row>
    <row r="103" ht="36" customHeight="1">
      <c r="A103" t="s" s="52">
        <v>332</v>
      </c>
      <c r="B103" t="s" s="52">
        <v>333</v>
      </c>
      <c r="C103" t="s" s="53">
        <v>334</v>
      </c>
      <c r="D103" t="s" s="52">
        <v>335</v>
      </c>
      <c r="E103" t="s" s="52">
        <v>342</v>
      </c>
      <c r="F103" t="s" s="17">
        <v>343</v>
      </c>
      <c r="G103" s="44"/>
      <c r="H103" s="44"/>
      <c r="I103" t="str" s="44" cm="1">
        <f t="array" ref="I103">IF(AND(ISNUMBER(G103),ISNUMBER(H103)),H103-G103,"")</f>
      </c>
      <c r="J103" s="46"/>
      <c r="K103" s="42"/>
      <c r="L103" s="44"/>
    </row>
    <row r="104" ht="36" customHeight="1">
      <c r="A104" t="s" s="52">
        <v>332</v>
      </c>
      <c r="B104" t="s" s="52">
        <v>333</v>
      </c>
      <c r="C104" t="s" s="53">
        <v>334</v>
      </c>
      <c r="D104" t="s" s="52">
        <v>335</v>
      </c>
      <c r="E104" t="s" s="52">
        <v>344</v>
      </c>
      <c r="F104" t="s" s="17">
        <v>345</v>
      </c>
      <c r="G104" s="44"/>
      <c r="H104" s="44"/>
      <c r="I104" t="str" s="44" cm="1">
        <f t="array" ref="I104">IF(AND(ISNUMBER(G104),ISNUMBER(H104)),H104-G104,"")</f>
      </c>
      <c r="J104" s="46"/>
      <c r="K104" s="42"/>
      <c r="L104" s="44"/>
    </row>
    <row r="105" ht="36" customHeight="1">
      <c r="A105" t="s" s="52">
        <v>332</v>
      </c>
      <c r="B105" t="s" s="52">
        <v>333</v>
      </c>
      <c r="C105" t="s" s="53">
        <v>334</v>
      </c>
      <c r="D105" t="s" s="52">
        <v>335</v>
      </c>
      <c r="E105" t="s" s="52">
        <v>346</v>
      </c>
      <c r="F105" t="s" s="17">
        <v>347</v>
      </c>
      <c r="G105" s="44"/>
      <c r="H105" s="44"/>
      <c r="I105" t="str" s="44" cm="1">
        <f t="array" ref="I105">IF(AND(ISNUMBER(G105),ISNUMBER(H105)),H105-G105,"")</f>
      </c>
      <c r="J105" s="46"/>
      <c r="K105" s="42"/>
      <c r="L105" s="44"/>
    </row>
    <row r="106" ht="36" customHeight="1">
      <c r="A106" t="s" s="52">
        <v>332</v>
      </c>
      <c r="B106" t="s" s="52">
        <v>333</v>
      </c>
      <c r="C106" t="s" s="53">
        <v>348</v>
      </c>
      <c r="D106" t="s" s="52">
        <v>349</v>
      </c>
      <c r="E106" t="s" s="52">
        <v>350</v>
      </c>
      <c r="F106" t="s" s="17">
        <v>351</v>
      </c>
      <c r="G106" s="44"/>
      <c r="H106" s="44"/>
      <c r="I106" t="str" s="44" cm="1">
        <f t="array" ref="I106">IF(AND(ISNUMBER(G106),ISNUMBER(H106)),H106-G106,"")</f>
      </c>
      <c r="J106" s="46"/>
      <c r="K106" s="42"/>
      <c r="L106" s="44"/>
    </row>
    <row r="107" ht="36" customHeight="1">
      <c r="A107" t="s" s="52">
        <v>332</v>
      </c>
      <c r="B107" t="s" s="52">
        <v>333</v>
      </c>
      <c r="C107" t="s" s="53">
        <v>348</v>
      </c>
      <c r="D107" t="s" s="52">
        <v>349</v>
      </c>
      <c r="E107" t="s" s="52">
        <v>352</v>
      </c>
      <c r="F107" t="s" s="17">
        <v>353</v>
      </c>
      <c r="G107" s="44"/>
      <c r="H107" s="44"/>
      <c r="I107" t="str" s="44" cm="1">
        <f t="array" ref="I107">IF(AND(ISNUMBER(G107),ISNUMBER(H107)),H107-G107,"")</f>
      </c>
      <c r="J107" s="46"/>
      <c r="K107" s="42"/>
      <c r="L107" s="44"/>
    </row>
  </sheetData>
  <conditionalFormatting sqref="G2:G107">
    <cfRule type="cellIs" dxfId="0" priority="1" operator="equal" stopIfTrue="1">
      <formula>1</formula>
    </cfRule>
    <cfRule type="cellIs" dxfId="1" priority="2" operator="equal" stopIfTrue="1">
      <formula>2</formula>
    </cfRule>
    <cfRule type="cellIs" dxfId="2" priority="3" operator="equal" stopIfTrue="1">
      <formula>3</formula>
    </cfRule>
    <cfRule type="cellIs" dxfId="3" priority="4" operator="equal" stopIfTrue="1">
      <formula>4</formula>
    </cfRule>
  </conditionalFormatting>
  <conditionalFormatting sqref="I2:I107">
    <cfRule type="cellIs" dxfId="4" priority="1" operator="greaterThanOrEqual" stopIfTrue="1">
      <formula>3</formula>
    </cfRule>
    <cfRule type="cellIs" dxfId="5" priority="2" operator="equal" stopIfTrue="1">
      <formula>2</formula>
    </cfRule>
    <cfRule type="cellIs" dxfId="6" priority="3" operator="equal" stopIfTrue="1">
      <formula>1</formula>
    </cfRule>
    <cfRule type="cellIs" dxfId="7" priority="4" operator="lessThanOrEqual" stopIfTrue="1">
      <formula>0</formula>
    </cfRule>
  </conditionalFormatting>
  <dataValidations count="2">
    <dataValidation type="list" allowBlank="1" showInputMessage="1" showErrorMessage="1" sqref="G2:H107">
      <formula1>"1,2,3,4"</formula1>
    </dataValidation>
    <dataValidation type="list" allowBlank="1" showInputMessage="1" showErrorMessage="1" sqref="L2:L107">
      <formula1>"Not Started,In Progress,Scored,Validated"</formula1>
    </dataValidation>
  </dataValidations>
  <hyperlinks>
    <hyperlink ref="J6" r:id="rId1" location="" tooltip="" display="bill.com"/>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8.66667" defaultRowHeight="15" customHeight="1" outlineLevelRow="0" outlineLevelCol="0"/>
  <cols>
    <col min="1" max="1" width="10" style="54" customWidth="1"/>
    <col min="2" max="2" width="35" style="54" customWidth="1"/>
    <col min="3" max="3" width="11" style="54" customWidth="1"/>
    <col min="4" max="4" width="18" style="54" customWidth="1"/>
    <col min="5" max="7" width="35" style="54" customWidth="1"/>
    <col min="8" max="8" width="10" style="54" customWidth="1"/>
    <col min="9" max="9" width="11" style="54" customWidth="1"/>
    <col min="10" max="11" width="10" style="54" customWidth="1"/>
    <col min="12" max="12" width="18" style="54" customWidth="1"/>
    <col min="13" max="13" width="12" style="54" customWidth="1"/>
    <col min="14" max="16384" width="8.67188" style="54" customWidth="1"/>
  </cols>
  <sheetData>
    <row r="1" ht="30" customHeight="1">
      <c r="A1" t="s" s="39">
        <v>65</v>
      </c>
      <c r="B1" t="s" s="39">
        <v>355</v>
      </c>
      <c r="C1" t="s" s="39">
        <v>55</v>
      </c>
      <c r="D1" t="s" s="39">
        <v>356</v>
      </c>
      <c r="E1" t="s" s="39">
        <v>357</v>
      </c>
      <c r="F1" t="s" s="39">
        <v>358</v>
      </c>
      <c r="G1" t="s" s="39">
        <v>359</v>
      </c>
      <c r="H1" t="s" s="39">
        <v>360</v>
      </c>
      <c r="I1" t="s" s="39">
        <v>361</v>
      </c>
      <c r="J1" t="s" s="39">
        <v>362</v>
      </c>
      <c r="K1" t="s" s="39">
        <v>363</v>
      </c>
      <c r="L1" t="s" s="39">
        <v>364</v>
      </c>
      <c r="M1" t="s" s="39">
        <v>66</v>
      </c>
    </row>
    <row r="2" ht="90" customHeight="1">
      <c r="A2" t="s" s="40">
        <v>365</v>
      </c>
      <c r="B2" t="s" s="31">
        <v>366</v>
      </c>
      <c r="C2" t="s" s="40">
        <v>67</v>
      </c>
      <c r="D2" t="s" s="40">
        <v>367</v>
      </c>
      <c r="E2" t="s" s="31">
        <v>368</v>
      </c>
      <c r="F2" t="s" s="31">
        <v>369</v>
      </c>
      <c r="G2" t="s" s="31">
        <v>370</v>
      </c>
      <c r="H2" s="55">
        <v>5</v>
      </c>
      <c r="I2" t="s" s="40">
        <v>371</v>
      </c>
      <c r="J2" t="s" s="40">
        <v>372</v>
      </c>
      <c r="K2" t="s" s="40">
        <v>373</v>
      </c>
      <c r="L2" t="s" s="40">
        <v>374</v>
      </c>
      <c r="M2" t="s" s="40">
        <v>375</v>
      </c>
    </row>
    <row r="3" ht="90" customHeight="1">
      <c r="A3" t="s" s="40">
        <v>376</v>
      </c>
      <c r="B3" t="s" s="31">
        <v>377</v>
      </c>
      <c r="C3" t="s" s="40">
        <v>212</v>
      </c>
      <c r="D3" t="s" s="40">
        <v>224</v>
      </c>
      <c r="E3" t="s" s="31">
        <v>378</v>
      </c>
      <c r="F3" t="s" s="31">
        <v>379</v>
      </c>
      <c r="G3" t="s" s="31">
        <v>380</v>
      </c>
      <c r="H3" s="55">
        <v>4</v>
      </c>
      <c r="I3" t="s" s="40">
        <v>381</v>
      </c>
      <c r="J3" t="s" s="40">
        <v>372</v>
      </c>
      <c r="K3" t="s" s="40">
        <v>373</v>
      </c>
      <c r="L3" t="s" s="40">
        <v>382</v>
      </c>
      <c r="M3" t="s" s="40">
        <v>375</v>
      </c>
    </row>
    <row r="4" ht="12.7" customHeight="1">
      <c r="A4" t="s" s="56">
        <v>383</v>
      </c>
      <c r="B4" s="57"/>
      <c r="C4" s="57"/>
      <c r="D4" s="57"/>
      <c r="E4" s="57"/>
      <c r="F4" s="57"/>
      <c r="G4" s="57"/>
      <c r="H4" s="58"/>
      <c r="I4" s="58"/>
      <c r="J4" s="58"/>
      <c r="K4" s="58"/>
      <c r="L4" s="57"/>
      <c r="M4" s="58"/>
    </row>
    <row r="5" ht="13.55" customHeight="1">
      <c r="A5" s="7"/>
      <c r="B5" s="7"/>
      <c r="C5" s="7"/>
      <c r="D5" s="7"/>
      <c r="E5" s="7"/>
      <c r="F5" s="7"/>
      <c r="G5" s="7"/>
      <c r="H5" s="7"/>
      <c r="I5" s="7"/>
      <c r="J5" s="7"/>
      <c r="K5" s="7"/>
      <c r="L5" s="7"/>
      <c r="M5" s="7"/>
    </row>
    <row r="6" ht="13.55" customHeight="1">
      <c r="A6" s="7"/>
      <c r="B6" s="7"/>
      <c r="C6" s="7"/>
      <c r="D6" s="7"/>
      <c r="E6" s="7"/>
      <c r="F6" s="7"/>
      <c r="G6" s="7"/>
      <c r="H6" s="7"/>
      <c r="I6" s="7"/>
      <c r="J6" s="7"/>
      <c r="K6" s="7"/>
      <c r="L6" s="7"/>
      <c r="M6" s="7"/>
    </row>
    <row r="7" ht="13.55" customHeight="1">
      <c r="A7" s="7"/>
      <c r="B7" s="7"/>
      <c r="C7" s="7"/>
      <c r="D7" s="7"/>
      <c r="E7" s="7"/>
      <c r="F7" s="7"/>
      <c r="G7" s="7"/>
      <c r="H7" s="7"/>
      <c r="I7" s="7"/>
      <c r="J7" s="7"/>
      <c r="K7" s="7"/>
      <c r="L7" s="7"/>
      <c r="M7" s="7"/>
    </row>
    <row r="8" ht="13.55" customHeight="1">
      <c r="A8" s="7"/>
      <c r="B8" s="7"/>
      <c r="C8" s="7"/>
      <c r="D8" s="7"/>
      <c r="E8" s="7"/>
      <c r="F8" s="7"/>
      <c r="G8" s="7"/>
      <c r="H8" s="7"/>
      <c r="I8" s="7"/>
      <c r="J8" s="7"/>
      <c r="K8" s="7"/>
      <c r="L8" s="7"/>
      <c r="M8" s="7"/>
    </row>
    <row r="9" ht="13.55" customHeight="1">
      <c r="A9" s="7"/>
      <c r="B9" s="7"/>
      <c r="C9" s="7"/>
      <c r="D9" s="7"/>
      <c r="E9" s="7"/>
      <c r="F9" s="7"/>
      <c r="G9" s="7"/>
      <c r="H9" s="7"/>
      <c r="I9" s="7"/>
      <c r="J9" s="7"/>
      <c r="K9" s="7"/>
      <c r="L9" s="7"/>
      <c r="M9" s="7"/>
    </row>
    <row r="10" ht="13.55" customHeight="1">
      <c r="A10" s="7"/>
      <c r="B10" s="7"/>
      <c r="C10" s="7"/>
      <c r="D10" s="7"/>
      <c r="E10" s="7"/>
      <c r="F10" s="7"/>
      <c r="G10" s="7"/>
      <c r="H10" s="7"/>
      <c r="I10" s="7"/>
      <c r="J10" s="7"/>
      <c r="K10" s="7"/>
      <c r="L10" s="7"/>
      <c r="M10" s="7"/>
    </row>
  </sheetData>
  <mergeCells count="1">
    <mergeCell ref="A4:M4"/>
  </mergeCells>
  <dataValidations count="7">
    <dataValidation type="list" allowBlank="1" showInputMessage="1" showErrorMessage="1" sqref="H2">
      <formula1>"1,2,3,4,5,5"</formula1>
    </dataValidation>
    <dataValidation type="list" allowBlank="1" showInputMessage="1" showErrorMessage="1" sqref="I2:I10">
      <formula1>"S,M,L,XL"</formula1>
    </dataValidation>
    <dataValidation type="list" allowBlank="1" showInputMessage="1" showErrorMessage="1" sqref="J2:J10">
      <formula1>"High,Medium,Low"</formula1>
    </dataValidation>
    <dataValidation type="list" allowBlank="1" showInputMessage="1" showErrorMessage="1" sqref="K2:K10">
      <formula1>"Phase 1,Phase 2,Phase 3"</formula1>
    </dataValidation>
    <dataValidation type="list" allowBlank="1" showInputMessage="1" showErrorMessage="1" sqref="M2:M10">
      <formula1>"Open,In Progress,Mitigated,Closed,Accepted"</formula1>
    </dataValidation>
    <dataValidation type="list" allowBlank="1" showInputMessage="1" showErrorMessage="1" sqref="H3">
      <formula1>"1,2,3,4,5,4"</formula1>
    </dataValidation>
    <dataValidation type="list" allowBlank="1" showInputMessage="1" showErrorMessage="1" sqref="H4:H10">
      <formula1>"1,2,3,4,5"</formula1>
    </dataValidation>
  </dataValidation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27"/>
  <sheetViews>
    <sheetView workbookViewId="0" showGridLines="0" defaultGridColor="1"/>
  </sheetViews>
  <sheetFormatPr defaultColWidth="8.66667" defaultRowHeight="15" customHeight="1" outlineLevelRow="0" outlineLevelCol="0"/>
  <cols>
    <col min="1" max="1" width="4" style="59" customWidth="1"/>
    <col min="2" max="2" width="14" style="59" customWidth="1"/>
    <col min="3" max="3" width="28" style="59" customWidth="1"/>
    <col min="4" max="6" width="12" style="59" customWidth="1"/>
    <col min="7" max="7" width="13" style="59" customWidth="1"/>
    <col min="8" max="8" width="50" style="59" customWidth="1"/>
    <col min="9" max="16384" width="8.67188" style="59" customWidth="1"/>
  </cols>
  <sheetData>
    <row r="1" ht="13.55" customHeight="1">
      <c r="A1" s="7"/>
      <c r="B1" s="7"/>
      <c r="C1" s="7"/>
      <c r="D1" s="7"/>
      <c r="E1" s="7"/>
      <c r="F1" s="7"/>
      <c r="G1" s="7"/>
      <c r="H1" s="7"/>
    </row>
    <row r="2" ht="27.75" customHeight="1">
      <c r="A2" s="7"/>
      <c r="B2" t="s" s="9">
        <v>385</v>
      </c>
      <c r="C2" s="21"/>
      <c r="D2" s="21"/>
      <c r="E2" s="21"/>
      <c r="F2" s="21"/>
      <c r="G2" s="21"/>
      <c r="H2" s="21"/>
    </row>
    <row r="3" ht="13.55" customHeight="1">
      <c r="A3" s="7"/>
      <c r="B3" t="s" s="10">
        <v>386</v>
      </c>
      <c r="C3" s="60"/>
      <c r="D3" s="60"/>
      <c r="E3" s="60"/>
      <c r="F3" s="60"/>
      <c r="G3" s="60"/>
      <c r="H3" s="60"/>
    </row>
    <row r="4" ht="13.55" customHeight="1">
      <c r="A4" s="7"/>
      <c r="B4" s="7"/>
      <c r="C4" s="7"/>
      <c r="D4" s="7"/>
      <c r="E4" s="7"/>
      <c r="F4" s="7"/>
      <c r="G4" s="7"/>
      <c r="H4" s="7"/>
    </row>
    <row r="5" ht="17.55" customHeight="1">
      <c r="A5" s="7"/>
      <c r="B5" t="s" s="61">
        <v>387</v>
      </c>
      <c r="C5" s="62"/>
      <c r="D5" s="62"/>
      <c r="E5" s="62"/>
      <c r="F5" s="62"/>
      <c r="G5" s="62"/>
      <c r="H5" s="62"/>
    </row>
    <row r="6" ht="24" customHeight="1">
      <c r="A6" s="63"/>
      <c r="B6" t="s" s="39">
        <v>56</v>
      </c>
      <c r="C6" t="s" s="39">
        <v>55</v>
      </c>
      <c r="D6" t="s" s="39">
        <v>388</v>
      </c>
      <c r="E6" t="s" s="39">
        <v>389</v>
      </c>
      <c r="F6" t="s" s="39">
        <v>390</v>
      </c>
      <c r="G6" t="s" s="39">
        <v>391</v>
      </c>
      <c r="H6" t="s" s="39">
        <v>392</v>
      </c>
    </row>
    <row r="7" ht="25.5" customHeight="1">
      <c r="A7" s="14"/>
      <c r="B7" t="s" s="64">
        <v>68</v>
      </c>
      <c r="C7" t="s" s="17">
        <v>67</v>
      </c>
      <c r="D7" s="65" cm="1">
        <f t="array" ref="D7">_xlfn.IFERROR(_xlfn.AVERAGEIF('CSF Scoring'!B1:B107,"GV",'CSF Scoring'!G1:G107),"")</f>
        <v>1.78947368421053</v>
      </c>
      <c r="E7" s="65" cm="1">
        <f t="array" ref="E7">_xlfn.IFERROR(_xlfn.AVERAGEIF('CSF Scoring'!B1:B107,"GV",'CSF Scoring'!H1:H107),"")</f>
        <v>2.94736842105263</v>
      </c>
      <c r="F7" s="65" cm="1">
        <f t="array" ref="F7">_xlfn.IFERROR(_xlfn.AVERAGEIF('CSF Scoring'!B1:B107,"GV",'CSF Scoring'!I1:I107),"")</f>
        <v>1.15789473684211</v>
      </c>
      <c r="G7" s="66" cm="1">
        <f t="array" ref="G7">_xlfn.COUNTIFS('CSF Scoring'!B1:B107,"GV",'CSF Scoring'!G1:G107,"&gt;0")/COUNTIF('CSF Scoring'!B1:B107,"GV")</f>
        <v>0.612903225806452</v>
      </c>
      <c r="H7" t="s" s="67">
        <v>393</v>
      </c>
    </row>
    <row r="8" ht="25.5" customHeight="1">
      <c r="A8" s="14"/>
      <c r="B8" t="s" s="68">
        <v>163</v>
      </c>
      <c r="C8" t="s" s="17">
        <v>162</v>
      </c>
      <c r="D8" t="str" s="44" cm="1">
        <f t="array" ref="D8">_xlfn.IFERROR(_xlfn.AVERAGEIF('CSF Scoring'!B1:B107,"ID",'CSF Scoring'!G1:G107),"")</f>
      </c>
      <c r="E8" t="str" s="44" cm="1">
        <f t="array" ref="E8">_xlfn.IFERROR(_xlfn.AVERAGEIF('CSF Scoring'!B1:B107,"ID",'CSF Scoring'!H1:H107),"")</f>
      </c>
      <c r="F8" t="str" s="44" cm="1">
        <f t="array" ref="F8">_xlfn.IFERROR(_xlfn.AVERAGEIF('CSF Scoring'!B1:B107,"ID",'CSF Scoring'!I1:I107),"")</f>
      </c>
      <c r="G8" s="66" cm="1">
        <f t="array" ref="G8">_xlfn.COUNTIFS('CSF Scoring'!B1:B107,"ID",'CSF Scoring'!G1:G107,"&gt;0")/COUNTIF('CSF Scoring'!B1:B107,"ID")</f>
        <v>0</v>
      </c>
      <c r="H8" t="s" s="67">
        <v>394</v>
      </c>
    </row>
    <row r="9" ht="25.5" customHeight="1">
      <c r="A9" s="14"/>
      <c r="B9" t="s" s="69">
        <v>213</v>
      </c>
      <c r="C9" t="s" s="17">
        <v>212</v>
      </c>
      <c r="D9" t="str" s="44" cm="1">
        <f t="array" ref="D9">_xlfn.IFERROR(_xlfn.AVERAGEIF('CSF Scoring'!B1:B107,"PR",'CSF Scoring'!G1:G107),"")</f>
      </c>
      <c r="E9" t="str" s="44" cm="1">
        <f t="array" ref="E9">_xlfn.IFERROR(_xlfn.AVERAGEIF('CSF Scoring'!B1:B107,"PR",'CSF Scoring'!H1:H107),"")</f>
      </c>
      <c r="F9" t="str" s="44" cm="1">
        <f t="array" ref="F9">_xlfn.IFERROR(_xlfn.AVERAGEIF('CSF Scoring'!B1:B107,"PR",'CSF Scoring'!I1:I107),"")</f>
      </c>
      <c r="G9" s="66" cm="1">
        <f t="array" ref="G9">_xlfn.COUNTIFS('CSF Scoring'!B1:B107,"PR",'CSF Scoring'!G1:G107,"&gt;0")/COUNTIF('CSF Scoring'!B1:B107,"PR")</f>
        <v>0</v>
      </c>
      <c r="H9" t="s" s="67">
        <v>395</v>
      </c>
    </row>
    <row r="10" ht="25.5" customHeight="1">
      <c r="A10" s="14"/>
      <c r="B10" t="s" s="70">
        <v>269</v>
      </c>
      <c r="C10" t="s" s="17">
        <v>268</v>
      </c>
      <c r="D10" t="str" s="44" cm="1">
        <f t="array" ref="D10">_xlfn.IFERROR(_xlfn.AVERAGEIF('CSF Scoring'!B1:B107,"DE",'CSF Scoring'!G1:G107),"")</f>
      </c>
      <c r="E10" t="str" s="44" cm="1">
        <f t="array" ref="E10">_xlfn.IFERROR(_xlfn.AVERAGEIF('CSF Scoring'!B1:B107,"DE",'CSF Scoring'!H1:H107),"")</f>
      </c>
      <c r="F10" t="str" s="44" cm="1">
        <f t="array" ref="F10">_xlfn.IFERROR(_xlfn.AVERAGEIF('CSF Scoring'!B1:B107,"DE",'CSF Scoring'!I1:I107),"")</f>
      </c>
      <c r="G10" s="66" cm="1">
        <f t="array" ref="G10">_xlfn.COUNTIFS('CSF Scoring'!B1:B107,"DE",'CSF Scoring'!G1:G107,"&gt;0")/COUNTIF('CSF Scoring'!B1:B107,"DE")</f>
        <v>0</v>
      </c>
      <c r="H10" t="s" s="67">
        <v>396</v>
      </c>
    </row>
    <row r="11" ht="25.5" customHeight="1">
      <c r="A11" s="14"/>
      <c r="B11" t="s" s="71">
        <v>297</v>
      </c>
      <c r="C11" t="s" s="17">
        <v>296</v>
      </c>
      <c r="D11" t="str" s="44" cm="1">
        <f t="array" ref="D11">_xlfn.IFERROR(_xlfn.AVERAGEIF('CSF Scoring'!B1:B107,"RS",'CSF Scoring'!G1:G107),"")</f>
      </c>
      <c r="E11" t="str" s="44" cm="1">
        <f t="array" ref="E11">_xlfn.IFERROR(_xlfn.AVERAGEIF('CSF Scoring'!B1:B107,"RS",'CSF Scoring'!H1:H107),"")</f>
      </c>
      <c r="F11" t="str" s="44" cm="1">
        <f t="array" ref="F11">_xlfn.IFERROR(_xlfn.AVERAGEIF('CSF Scoring'!B1:B107,"RS",'CSF Scoring'!I1:I107),"")</f>
      </c>
      <c r="G11" s="66" cm="1">
        <f t="array" ref="G11">_xlfn.COUNTIFS('CSF Scoring'!B1:B107,"RS",'CSF Scoring'!G1:G107,"&gt;0")/COUNTIF('CSF Scoring'!B1:B107,"RS")</f>
        <v>0</v>
      </c>
      <c r="H11" t="s" s="67">
        <v>397</v>
      </c>
    </row>
    <row r="12" ht="25.5" customHeight="1">
      <c r="A12" s="14"/>
      <c r="B12" t="s" s="72">
        <v>333</v>
      </c>
      <c r="C12" t="s" s="73">
        <v>332</v>
      </c>
      <c r="D12" t="str" s="74" cm="1">
        <f t="array" ref="D12">_xlfn.IFERROR(_xlfn.AVERAGEIF('CSF Scoring'!B1:B107,"RC",'CSF Scoring'!G1:G107),"")</f>
      </c>
      <c r="E12" t="str" s="74" cm="1">
        <f t="array" ref="E12">_xlfn.IFERROR(_xlfn.AVERAGEIF('CSF Scoring'!B1:B107,"RC",'CSF Scoring'!H1:H107),"")</f>
      </c>
      <c r="F12" t="str" s="74" cm="1">
        <f t="array" ref="F12">_xlfn.IFERROR(_xlfn.AVERAGEIF('CSF Scoring'!B1:B107,"RC",'CSF Scoring'!I1:I107),"")</f>
      </c>
      <c r="G12" s="75" cm="1">
        <f t="array" ref="G12">_xlfn.COUNTIFS('CSF Scoring'!B1:B107,"RC",'CSF Scoring'!G1:G107,"&gt;0")/COUNTIF('CSF Scoring'!B1:B107,"RC")</f>
        <v>0</v>
      </c>
      <c r="H12" t="s" s="76">
        <v>398</v>
      </c>
    </row>
    <row r="13" ht="25.5" customHeight="1">
      <c r="A13" s="63"/>
      <c r="B13" t="s" s="77">
        <v>399</v>
      </c>
      <c r="C13" t="s" s="78">
        <v>400</v>
      </c>
      <c r="D13" s="79" cm="1">
        <f t="array" ref="D13">_xlfn.IFERROR(AVERAGE('CSF Scoring'!G2:G107),"")</f>
        <v>1.78947368421053</v>
      </c>
      <c r="E13" s="79" cm="1">
        <f t="array" ref="E13">_xlfn.IFERROR(AVERAGE('CSF Scoring'!H2:H107),"")</f>
        <v>2.94736842105263</v>
      </c>
      <c r="F13" s="79" cm="1">
        <f t="array" ref="F13">_xlfn.IFERROR(AVERAGE('CSF Scoring'!I2:I107),"")</f>
        <v>1.15789473684211</v>
      </c>
      <c r="G13" s="80" cm="1">
        <f t="array" ref="G13">COUNTIF('CSF Scoring'!G2:G107,"&gt;0")/106</f>
        <v>0.179245283018868</v>
      </c>
      <c r="H13" t="s" s="78">
        <v>401</v>
      </c>
    </row>
    <row r="14" ht="13.55" customHeight="1">
      <c r="A14" s="7"/>
      <c r="B14" s="81"/>
      <c r="C14" s="81"/>
      <c r="D14" s="81"/>
      <c r="E14" s="81"/>
      <c r="F14" s="81"/>
      <c r="G14" s="81"/>
      <c r="H14" s="81"/>
    </row>
    <row r="15" ht="17.55" customHeight="1">
      <c r="A15" s="7"/>
      <c r="B15" t="s" s="61">
        <v>402</v>
      </c>
      <c r="C15" s="62"/>
      <c r="D15" s="62"/>
      <c r="E15" s="62"/>
      <c r="F15" s="35"/>
      <c r="G15" s="35"/>
      <c r="H15" s="35"/>
    </row>
    <row r="16" ht="21.75" customHeight="1">
      <c r="A16" s="63"/>
      <c r="B16" t="s" s="39">
        <v>403</v>
      </c>
      <c r="C16" t="s" s="39">
        <v>404</v>
      </c>
      <c r="D16" t="s" s="39">
        <v>405</v>
      </c>
      <c r="E16" t="s" s="39">
        <v>406</v>
      </c>
      <c r="F16" s="82"/>
      <c r="G16" s="7"/>
      <c r="H16" s="7"/>
    </row>
    <row r="17" ht="24" customHeight="1">
      <c r="A17" s="14"/>
      <c r="B17" s="83">
        <v>0</v>
      </c>
      <c r="C17" t="s" s="84">
        <v>407</v>
      </c>
      <c r="D17" s="85" cm="1">
        <f t="array" ref="D17">COUNTIF('CSF Scoring'!I2:I107,0)</f>
        <v>2</v>
      </c>
      <c r="E17" s="86" cm="1">
        <f t="array" ref="E17">_xlfn.IFERROR(D17/COUNT('CSF Scoring'!I2:I107),"")</f>
        <v>0.105263157894737</v>
      </c>
      <c r="F17" s="87"/>
      <c r="G17" s="7"/>
      <c r="H17" s="7"/>
    </row>
    <row r="18" ht="24" customHeight="1">
      <c r="A18" s="14"/>
      <c r="B18" s="88">
        <v>1</v>
      </c>
      <c r="C18" t="s" s="89">
        <v>408</v>
      </c>
      <c r="D18" s="55" cm="1">
        <f t="array" ref="D18">COUNTIF('CSF Scoring'!I2:I107,1)</f>
        <v>12</v>
      </c>
      <c r="E18" s="90" cm="1">
        <f t="array" ref="E18">_xlfn.IFERROR(D18/COUNT('CSF Scoring'!I2:I107),"")</f>
        <v>0.631578947368421</v>
      </c>
      <c r="F18" s="87"/>
      <c r="G18" s="7"/>
      <c r="H18" s="7"/>
    </row>
    <row r="19" ht="24" customHeight="1">
      <c r="A19" s="14"/>
      <c r="B19" s="91">
        <v>2</v>
      </c>
      <c r="C19" t="s" s="92">
        <v>409</v>
      </c>
      <c r="D19" s="93" cm="1">
        <f t="array" ref="D19">COUNTIF('CSF Scoring'!I2:I107,2)</f>
        <v>5</v>
      </c>
      <c r="E19" s="94" cm="1">
        <f t="array" ref="E19">_xlfn.IFERROR(D19/COUNT('CSF Scoring'!I2:I107),"")</f>
        <v>0.263157894736842</v>
      </c>
      <c r="F19" s="87"/>
      <c r="G19" s="7"/>
      <c r="H19" s="7"/>
    </row>
    <row r="20" ht="24" customHeight="1">
      <c r="A20" s="14"/>
      <c r="B20" s="95">
        <v>3</v>
      </c>
      <c r="C20" t="s" s="96">
        <v>410</v>
      </c>
      <c r="D20" s="97" cm="1">
        <f t="array" ref="D20">COUNTIF('CSF Scoring'!I2:I107,3)</f>
        <v>0</v>
      </c>
      <c r="E20" s="98" cm="1">
        <f t="array" ref="E20">_xlfn.IFERROR(D20/COUNT('CSF Scoring'!I2:I107),"")</f>
        <v>0</v>
      </c>
      <c r="F20" s="87"/>
      <c r="G20" s="7"/>
      <c r="H20" s="7"/>
    </row>
    <row r="21" ht="13.55" customHeight="1">
      <c r="A21" s="7"/>
      <c r="B21" s="18"/>
      <c r="C21" s="18"/>
      <c r="D21" s="18"/>
      <c r="E21" s="18"/>
      <c r="F21" s="7"/>
      <c r="G21" s="7"/>
      <c r="H21" s="7"/>
    </row>
    <row r="22" ht="17.55" customHeight="1">
      <c r="A22" s="7"/>
      <c r="B22" t="s" s="61">
        <v>411</v>
      </c>
      <c r="C22" s="62"/>
      <c r="D22" s="62"/>
      <c r="E22" s="62"/>
      <c r="F22" s="35"/>
      <c r="G22" s="35"/>
      <c r="H22" s="35"/>
    </row>
    <row r="23" ht="21.75" customHeight="1">
      <c r="A23" s="63"/>
      <c r="B23" t="s" s="39">
        <v>31</v>
      </c>
      <c r="C23" t="s" s="39">
        <v>32</v>
      </c>
      <c r="D23" t="s" s="39">
        <v>405</v>
      </c>
      <c r="E23" t="s" s="39">
        <v>412</v>
      </c>
      <c r="F23" s="82"/>
      <c r="G23" s="7"/>
      <c r="H23" s="7"/>
    </row>
    <row r="24" ht="24" customHeight="1">
      <c r="A24" s="14"/>
      <c r="B24" s="95">
        <v>1</v>
      </c>
      <c r="C24" t="s" s="96">
        <v>35</v>
      </c>
      <c r="D24" s="97" cm="1">
        <f t="array" ref="D24">COUNTIF('CSF Scoring'!G2:G107,1)</f>
        <v>6</v>
      </c>
      <c r="E24" s="98" cm="1">
        <f t="array" ref="E24">_xlfn.IFERROR(D24/COUNT('CSF Scoring'!G2:G107),"")</f>
        <v>0.315789473684211</v>
      </c>
      <c r="F24" s="87"/>
      <c r="G24" s="7"/>
      <c r="H24" s="7"/>
    </row>
    <row r="25" ht="24" customHeight="1">
      <c r="A25" s="14"/>
      <c r="B25" s="91">
        <v>2</v>
      </c>
      <c r="C25" t="s" s="92">
        <v>38</v>
      </c>
      <c r="D25" s="93" cm="1">
        <f t="array" ref="D25">COUNTIF('CSF Scoring'!G2:G107,2)</f>
        <v>11</v>
      </c>
      <c r="E25" s="94" cm="1">
        <f t="array" ref="E25">_xlfn.IFERROR(D25/COUNT('CSF Scoring'!G2:G107),"")</f>
        <v>0.578947368421053</v>
      </c>
      <c r="F25" s="87"/>
      <c r="G25" s="7"/>
      <c r="H25" s="7"/>
    </row>
    <row r="26" ht="24" customHeight="1">
      <c r="A26" s="14"/>
      <c r="B26" s="88">
        <v>3</v>
      </c>
      <c r="C26" t="s" s="89">
        <v>41</v>
      </c>
      <c r="D26" s="55" cm="1">
        <f t="array" ref="D26">COUNTIF('CSF Scoring'!G2:G107,3)</f>
        <v>2</v>
      </c>
      <c r="E26" s="90" cm="1">
        <f t="array" ref="E26">_xlfn.IFERROR(D26/COUNT('CSF Scoring'!G2:G107),"")</f>
        <v>0.105263157894737</v>
      </c>
      <c r="F26" s="87"/>
      <c r="G26" s="7"/>
      <c r="H26" s="7"/>
    </row>
    <row r="27" ht="24" customHeight="1">
      <c r="A27" s="14"/>
      <c r="B27" s="83">
        <v>4</v>
      </c>
      <c r="C27" t="s" s="84">
        <v>44</v>
      </c>
      <c r="D27" s="85" cm="1">
        <f t="array" ref="D27">COUNTIF('CSF Scoring'!G2:G107,4)</f>
        <v>0</v>
      </c>
      <c r="E27" s="86" cm="1">
        <f t="array" ref="E27">_xlfn.IFERROR(D27/COUNT('CSF Scoring'!G2:G107),"")</f>
        <v>0</v>
      </c>
      <c r="F27" s="87"/>
      <c r="G27" s="7"/>
      <c r="H27" s="7"/>
    </row>
  </sheetData>
  <mergeCells count="5">
    <mergeCell ref="B2:H2"/>
    <mergeCell ref="B3:H3"/>
    <mergeCell ref="B5:H5"/>
    <mergeCell ref="B15:H15"/>
    <mergeCell ref="B22:H2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